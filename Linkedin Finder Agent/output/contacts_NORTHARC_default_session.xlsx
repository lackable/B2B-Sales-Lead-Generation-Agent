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76" customWidth="1" min="2" max="2"/>
    <col width="20" customWidth="1" min="3" max="3"/>
    <col width="15" customWidth="1" min="4" max="4"/>
    <col width="61" customWidth="1" min="5" max="5"/>
    <col width="31" customWidth="1" min="6" max="6"/>
    <col width="148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NORTHARC</t>
        </is>
      </c>
      <c r="B2" s="2">
        <f>HYPERLINK("https://www.northernarc.com", "https://www.northernarc.com")</f>
        <v/>
      </c>
      <c r="C2" t="inlineStr"/>
      <c r="D2" t="inlineStr">
        <is>
          <t>India</t>
        </is>
      </c>
      <c r="E2" t="inlineStr">
        <is>
          <t>Managing Director and Chief Executive Officer</t>
        </is>
      </c>
      <c r="F2" t="inlineStr">
        <is>
          <t>Ashish Mehrotra</t>
        </is>
      </c>
      <c r="G2" s="2">
        <f>HYPERLINK("https://in.linkedin.com/in/ashish-mehrotra-9050406", "https://in.linkedin.com/in/ashish-mehrotra-9050406")</f>
        <v/>
      </c>
    </row>
    <row r="3">
      <c r="A3" t="inlineStr">
        <is>
          <t>NORTHARC</t>
        </is>
      </c>
      <c r="B3" s="2">
        <f>HYPERLINK("https://www.northernarc.com", "https://www.northernarc.com")</f>
        <v/>
      </c>
      <c r="C3" t="inlineStr"/>
      <c r="D3" t="inlineStr">
        <is>
          <t>India</t>
        </is>
      </c>
      <c r="E3" t="inlineStr">
        <is>
          <t>Director Of Information Technology</t>
        </is>
      </c>
      <c r="F3" t="inlineStr">
        <is>
          <t>Sundaresh Sivasankarapillai</t>
        </is>
      </c>
      <c r="G3" s="2">
        <f>HYPERLINK("https://in.linkedin.com/in/sundaresh-sivasankarapillai-997ba523", "https://in.linkedin.com/in/sundaresh-sivasankarapillai-997ba523")</f>
        <v/>
      </c>
    </row>
    <row r="4">
      <c r="A4" t="inlineStr">
        <is>
          <t>NORTHARC</t>
        </is>
      </c>
      <c r="B4" s="2">
        <f>HYPERLINK("https://www.northernarc.com", "https://www.northernarc.com")</f>
        <v/>
      </c>
      <c r="C4" t="inlineStr"/>
      <c r="D4" t="inlineStr">
        <is>
          <t>India</t>
        </is>
      </c>
      <c r="E4" t="inlineStr">
        <is>
          <t>VP &amp; Head of Branch Risk Operations, Pan India</t>
        </is>
      </c>
      <c r="F4" t="inlineStr">
        <is>
          <t>Yuvaraj Sivakumar</t>
        </is>
      </c>
      <c r="G4" s="2">
        <f>HYPERLINK("https://in.linkedin.com/in/yuvaraj-sivakumar-78712423b", "https://in.linkedin.com/in/yuvaraj-sivakumar-78712423b")</f>
        <v/>
      </c>
    </row>
    <row r="5">
      <c r="A5" t="inlineStr">
        <is>
          <t>NORTHARC</t>
        </is>
      </c>
      <c r="B5" s="2">
        <f>HYPERLINK("https://www.northernarc.com", "https://www.northernarc.com")</f>
        <v/>
      </c>
      <c r="C5" t="inlineStr"/>
      <c r="D5" t="inlineStr">
        <is>
          <t>India</t>
        </is>
      </c>
      <c r="E5" t="inlineStr">
        <is>
          <t>Deputy Vice President</t>
        </is>
      </c>
      <c r="F5" t="inlineStr">
        <is>
          <t>Ramanathan Subramanian</t>
        </is>
      </c>
      <c r="G5" s="2">
        <f>HYPERLINK("https://in.linkedin.com/in/ramanq8", "https://in.linkedin.com/in/ramanq8")</f>
        <v/>
      </c>
    </row>
    <row r="6">
      <c r="A6" t="inlineStr">
        <is>
          <t>NORTHARC</t>
        </is>
      </c>
      <c r="B6" s="2">
        <f>HYPERLINK("https://www.northernarc.com", "https://www.northernarc.com")</f>
        <v/>
      </c>
      <c r="C6" t="inlineStr"/>
      <c r="D6" t="inlineStr">
        <is>
          <t>India</t>
        </is>
      </c>
      <c r="E6" t="inlineStr">
        <is>
          <t>Group Risk Officer &amp; Governance Head (Chief Risk Officer)</t>
        </is>
      </c>
      <c r="F6" t="inlineStr">
        <is>
          <t>Pardhasaradhi Rallabandi</t>
        </is>
      </c>
      <c r="G6" s="2">
        <f>HYPERLINK("https://in.linkedin.com/in/pardhasaradhi-rallabandi-1a254413", "https://in.linkedin.com/in/pardhasaradhi-rallabandi-1a254413")</f>
        <v/>
      </c>
    </row>
    <row r="7">
      <c r="A7" t="inlineStr">
        <is>
          <t>NORTHARC</t>
        </is>
      </c>
      <c r="B7" s="2">
        <f>HYPERLINK("https://www.northernarc.com", "https://www.northernarc.com")</f>
        <v/>
      </c>
      <c r="C7" t="inlineStr"/>
      <c r="D7" t="inlineStr">
        <is>
          <t>India</t>
        </is>
      </c>
      <c r="E7" t="inlineStr">
        <is>
          <t>Chief Financial Officer</t>
        </is>
      </c>
      <c r="F7" t="inlineStr">
        <is>
          <t>Atul Tibrewal</t>
        </is>
      </c>
      <c r="G7" s="2">
        <f>HYPERLINK("https://in.linkedin.com/in/atul-tibrewal-a731627", "https://in.linkedin.com/in/atul-tibrewal-a731627")</f>
        <v/>
      </c>
    </row>
    <row r="8">
      <c r="A8" t="inlineStr">
        <is>
          <t>NORTHARC</t>
        </is>
      </c>
      <c r="B8" s="2">
        <f>HYPERLINK("https://www.northernarc.com", "https://www.northernarc.com")</f>
        <v/>
      </c>
      <c r="C8" t="inlineStr"/>
      <c r="D8" t="inlineStr">
        <is>
          <t>India</t>
        </is>
      </c>
      <c r="E8" t="inlineStr">
        <is>
          <t>Deputy Vice President</t>
        </is>
      </c>
      <c r="F8" t="inlineStr">
        <is>
          <t>Rinesh Kunjumon</t>
        </is>
      </c>
      <c r="G8" s="2">
        <f>HYPERLINK("https://in.linkedin.com/in/rinesh-kunjumon-59900591", "https://in.linkedin.com/in/rinesh-kunjumon-59900591")</f>
        <v/>
      </c>
    </row>
    <row r="9">
      <c r="A9" t="inlineStr">
        <is>
          <t>NORTHARC</t>
        </is>
      </c>
      <c r="B9" s="2">
        <f>HYPERLINK("https://www.northernarc.com", "https://www.northernarc.com")</f>
        <v/>
      </c>
      <c r="C9" t="inlineStr"/>
      <c r="D9" t="inlineStr">
        <is>
          <t>India</t>
        </is>
      </c>
      <c r="E9" t="inlineStr">
        <is>
          <t>Deputy Vice President</t>
        </is>
      </c>
      <c r="F9" t="inlineStr">
        <is>
          <t>Abhishek Verma</t>
        </is>
      </c>
      <c r="G9" s="2">
        <f>HYPERLINK("https://in.linkedin.com/in/abhishekv18", "https://in.linkedin.com/in/abhishekv18")</f>
        <v/>
      </c>
    </row>
    <row r="10">
      <c r="A10" t="inlineStr">
        <is>
          <t>NORTHARC</t>
        </is>
      </c>
      <c r="B10" s="2">
        <f>HYPERLINK("https://www.northernarc.com", "https://www.northernarc.com")</f>
        <v/>
      </c>
      <c r="C10" t="inlineStr"/>
      <c r="D10" t="inlineStr">
        <is>
          <t>India</t>
        </is>
      </c>
      <c r="E10" t="inlineStr">
        <is>
          <t>DVP, CEO's Office (Strategy &amp; Investor Relations)</t>
        </is>
      </c>
      <c r="F10" t="inlineStr">
        <is>
          <t>Chinmay Singhvi</t>
        </is>
      </c>
      <c r="G10" s="2">
        <f>HYPERLINK("https://in.linkedin.com/in/chinmay-singhvi-1b895aa0", "https://in.linkedin.com/in/chinmay-singhvi-1b895aa0")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2026-08-03T08:23:21Z</dcterms:created>
  <dcterms:modified xmlns:dcterms="http://purl.org/dc/terms/" xmlns:xsi="http://www.w3.org/2001/XMLSchema-instance" xsi:type="dcterms:W3CDTF">2026-08-03T08:23:21Z</dcterms:modified>
</cp:coreProperties>
</file>