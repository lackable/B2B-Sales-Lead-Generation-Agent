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7" customWidth="1" min="1" max="1"/>
    <col width="74" customWidth="1" min="2" max="2"/>
    <col width="20" customWidth="1" min="3" max="3"/>
    <col width="15" customWidth="1" min="4" max="4"/>
    <col width="53" customWidth="1" min="5" max="5"/>
    <col width="26" customWidth="1" min="6" max="6"/>
    <col width="138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Marksans Pharma Limited</t>
        </is>
      </c>
      <c r="B2" s="2">
        <f>HYPERLINK("https://marksanspharma.com", "https://marksanspharma.com")</f>
        <v/>
      </c>
      <c r="C2" t="inlineStr"/>
      <c r="D2" t="inlineStr">
        <is>
          <t>India</t>
        </is>
      </c>
      <c r="E2" t="inlineStr">
        <is>
          <t>Independent Director</t>
        </is>
      </c>
      <c r="F2" t="inlineStr">
        <is>
          <t>Abhinna Sundar Mohanty</t>
        </is>
      </c>
      <c r="G2" s="2">
        <f>HYPERLINK("https://in.linkedin.com/in/abhinna-sundar-mohanty-1276aa18", "https://in.linkedin.com/in/abhinna-sundar-mohanty-1276aa18")</f>
        <v/>
      </c>
    </row>
    <row r="3">
      <c r="A3" t="inlineStr">
        <is>
          <t>Marksans Pharma Limited</t>
        </is>
      </c>
      <c r="B3" s="2">
        <f>HYPERLINK("https://marksanspharma.com", "https://marksanspharma.com")</f>
        <v/>
      </c>
      <c r="C3" t="inlineStr"/>
      <c r="D3" t="inlineStr">
        <is>
          <t>India</t>
        </is>
      </c>
      <c r="E3" t="inlineStr">
        <is>
          <t>Director - Analytical Research</t>
        </is>
      </c>
      <c r="F3" t="inlineStr">
        <is>
          <t>Piyush Joshi</t>
        </is>
      </c>
      <c r="G3" s="2">
        <f>HYPERLINK("https://in.linkedin.com/in/piyush-joshi-278bb243", "https://in.linkedin.com/in/piyush-joshi-278bb243")</f>
        <v/>
      </c>
    </row>
    <row r="4">
      <c r="A4" t="inlineStr">
        <is>
          <t>Marksans Pharma Limited</t>
        </is>
      </c>
      <c r="B4" s="2">
        <f>HYPERLINK("https://marksanspharma.com", "https://marksanspharma.com")</f>
        <v/>
      </c>
      <c r="C4" t="inlineStr"/>
      <c r="D4" t="inlineStr">
        <is>
          <t>India</t>
        </is>
      </c>
      <c r="E4" t="inlineStr">
        <is>
          <t>Director - Quality Control</t>
        </is>
      </c>
      <c r="F4" t="inlineStr">
        <is>
          <t>Sunil Rane</t>
        </is>
      </c>
      <c r="G4" s="2">
        <f>HYPERLINK("https://in.linkedin.com/in/sunil-rane-0429b7137", "https://in.linkedin.com/in/sunil-rane-0429b7137")</f>
        <v/>
      </c>
    </row>
    <row r="5">
      <c r="A5" t="inlineStr">
        <is>
          <t>Marksans Pharma Limited</t>
        </is>
      </c>
      <c r="B5" s="2">
        <f>HYPERLINK("https://marksanspharma.com", "https://marksanspharma.com")</f>
        <v/>
      </c>
      <c r="C5" t="inlineStr"/>
      <c r="D5" t="inlineStr">
        <is>
          <t>India</t>
        </is>
      </c>
      <c r="E5" t="inlineStr">
        <is>
          <t>Director</t>
        </is>
      </c>
      <c r="F5" t="inlineStr">
        <is>
          <t>Anurag Pathak</t>
        </is>
      </c>
      <c r="G5" s="2">
        <f>HYPERLINK("https://in.linkedin.com/in/anurag-pathak-9a4a0b85", "https://in.linkedin.com/in/anurag-pathak-9a4a0b85")</f>
        <v/>
      </c>
    </row>
    <row r="6">
      <c r="A6" t="inlineStr">
        <is>
          <t>Marksans Pharma Limited</t>
        </is>
      </c>
      <c r="B6" s="2">
        <f>HYPERLINK("https://marksanspharma.com", "https://marksanspharma.com")</f>
        <v/>
      </c>
      <c r="C6" t="inlineStr"/>
      <c r="D6" t="inlineStr">
        <is>
          <t>India</t>
        </is>
      </c>
      <c r="E6" t="inlineStr">
        <is>
          <t>Site Director / Director - Operations (Site Head)</t>
        </is>
      </c>
      <c r="F6" t="inlineStr">
        <is>
          <t>Vikas Bhargava</t>
        </is>
      </c>
      <c r="G6" s="2">
        <f>HYPERLINK("https://in.linkedin.com/in/vikas-bhargava-8393705", "https://in.linkedin.com/in/vikas-bhargava-8393705")</f>
        <v/>
      </c>
    </row>
    <row r="7">
      <c r="A7" t="inlineStr">
        <is>
          <t>Marksans Pharma Limited</t>
        </is>
      </c>
      <c r="B7" s="2">
        <f>HYPERLINK("https://marksanspharma.com", "https://marksanspharma.com")</f>
        <v/>
      </c>
      <c r="C7" t="inlineStr"/>
      <c r="D7" t="inlineStr">
        <is>
          <t>India</t>
        </is>
      </c>
      <c r="E7" t="inlineStr">
        <is>
          <t>Director of Quality Assurance</t>
        </is>
      </c>
      <c r="F7" t="inlineStr">
        <is>
          <t>Sopan Pisal</t>
        </is>
      </c>
      <c r="G7" s="2">
        <f>HYPERLINK("https://in.linkedin.com/in/sopan-pisal-324b1214", "https://in.linkedin.com/in/sopan-pisal-324b1214")</f>
        <v/>
      </c>
    </row>
    <row r="8">
      <c r="A8" t="inlineStr">
        <is>
          <t>Marksans Pharma Limited</t>
        </is>
      </c>
      <c r="B8" s="2">
        <f>HYPERLINK("https://marksanspharma.com", "https://marksanspharma.com")</f>
        <v/>
      </c>
      <c r="C8" t="inlineStr"/>
      <c r="D8" t="inlineStr">
        <is>
          <t>India</t>
        </is>
      </c>
      <c r="E8" t="inlineStr">
        <is>
          <t>General Manager (leads global safety/operations)</t>
        </is>
      </c>
      <c r="F8" t="inlineStr">
        <is>
          <t>Chaitanya Kulkarni</t>
        </is>
      </c>
      <c r="G8" s="2">
        <f>HYPERLINK("https://in.linkedin.com/in/chaitanya-kulkarni-1429b810", "https://in.linkedin.com/in/chaitanya-kulkarni-1429b810")</f>
        <v/>
      </c>
    </row>
    <row r="9">
      <c r="A9" t="inlineStr">
        <is>
          <t>Marksans Pharma Limited</t>
        </is>
      </c>
      <c r="B9" s="2">
        <f>HYPERLINK("https://marksanspharma.com", "https://marksanspharma.com")</f>
        <v/>
      </c>
      <c r="C9" t="inlineStr"/>
      <c r="D9" t="inlineStr">
        <is>
          <t>India</t>
        </is>
      </c>
      <c r="E9" t="inlineStr">
        <is>
          <t>AGM - Technology Transfer (Head of Dept.)</t>
        </is>
      </c>
      <c r="F9" t="inlineStr">
        <is>
          <t>Rudra Singh</t>
        </is>
      </c>
      <c r="G9" s="2">
        <f>HYPERLINK("https://in.linkedin.com/in/rudra-singh-40065220", "https://in.linkedin.com/in/rudra-singh-40065220")</f>
        <v/>
      </c>
    </row>
    <row r="10">
      <c r="A10" t="inlineStr">
        <is>
          <t>Marksans Pharma Limited</t>
        </is>
      </c>
      <c r="B10" s="2">
        <f>HYPERLINK("https://marksanspharma.com", "https://marksanspharma.com")</f>
        <v/>
      </c>
      <c r="C10" t="inlineStr"/>
      <c r="D10" t="inlineStr">
        <is>
          <t>India</t>
        </is>
      </c>
      <c r="E10" t="inlineStr">
        <is>
          <t>Strategic CFO (Chief Financial Officer)</t>
        </is>
      </c>
      <c r="F10" t="inlineStr">
        <is>
          <t>Jitendra Sharma</t>
        </is>
      </c>
      <c r="G10" s="2">
        <f>HYPERLINK("https://in.linkedin.com/in/jitendra-sharma-a4480a6", "https://in.linkedin.com/in/jitendra-sharma-a4480a6")</f>
        <v/>
      </c>
    </row>
    <row r="11">
      <c r="A11" t="inlineStr">
        <is>
          <t>Marksans Pharma Limited</t>
        </is>
      </c>
      <c r="B11" s="2">
        <f>HYPERLINK("https://marksanspharma.com", "https://marksanspharma.com")</f>
        <v/>
      </c>
      <c r="C11" t="inlineStr"/>
      <c r="D11" t="inlineStr">
        <is>
          <t>India</t>
        </is>
      </c>
      <c r="E11" t="inlineStr">
        <is>
          <t>Chief Operating Officer (COO) - Global Operations</t>
        </is>
      </c>
      <c r="F11" t="inlineStr">
        <is>
          <t>Anjani Kumar</t>
        </is>
      </c>
      <c r="G11" s="2">
        <f>HYPERLINK("https://www.linkedin.com/in/anjani-kumar-04908b11b", "https://www.linkedin.com/in/anjani-kumar-04908b11b")</f>
        <v/>
      </c>
    </row>
    <row r="12">
      <c r="A12" t="inlineStr">
        <is>
          <t>Marksans Pharma Limited</t>
        </is>
      </c>
      <c r="B12" s="2">
        <f>HYPERLINK("https://marksanspharma.com", "https://marksanspharma.com")</f>
        <v/>
      </c>
      <c r="C12" t="inlineStr"/>
      <c r="D12" t="inlineStr">
        <is>
          <t>India</t>
        </is>
      </c>
      <c r="E12" t="inlineStr">
        <is>
          <t>Procurement - Executive</t>
        </is>
      </c>
      <c r="F12" t="inlineStr">
        <is>
          <t>Prashanth Kumar</t>
        </is>
      </c>
      <c r="G12" s="2">
        <f>HYPERLINK("https://in.linkedin.com/in/prashanth-kumar-886138108", "https://in.linkedin.com/in/prashanth-kumar-886138108")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2026-08-05T17:41:15Z</dcterms:created>
  <dcterms:modified xmlns:dcterms="http://purl.org/dc/terms/" xmlns:xsi="http://www.w3.org/2001/XMLSchema-instance" xsi:type="dcterms:W3CDTF">2026-08-05T17:41:15Z</dcterms:modified>
</cp:coreProperties>
</file>