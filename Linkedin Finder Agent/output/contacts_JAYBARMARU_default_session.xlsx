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78" customWidth="1" min="5" max="5"/>
    <col width="23" customWidth="1" min="6" max="6"/>
    <col width="12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JAYBARMARU</t>
        </is>
      </c>
      <c r="B2" s="2">
        <f>HYPERLINK("https://www.jbmgroup.com", "https://www.jbmgroup.com")</f>
        <v/>
      </c>
      <c r="C2" t="inlineStr"/>
      <c r="D2" t="inlineStr">
        <is>
          <t>India</t>
        </is>
      </c>
      <c r="E2" t="inlineStr">
        <is>
          <t>Chief General Manager, JAY BHARAT MARUTI LIMITED</t>
        </is>
      </c>
      <c r="F2" t="inlineStr">
        <is>
          <t>Lokesh Verma</t>
        </is>
      </c>
      <c r="G2" s="2">
        <f>HYPERLINK("https://in.linkedin.com/in/lokesh-verma-36712420", "https://in.linkedin.com/in/lokesh-verma-36712420")</f>
        <v/>
      </c>
    </row>
    <row r="3">
      <c r="A3" t="inlineStr">
        <is>
          <t>JAYBARMARU</t>
        </is>
      </c>
      <c r="B3" s="2">
        <f>HYPERLINK("https://www.jbmgroup.com", "https://www.jbmgroup.com")</f>
        <v/>
      </c>
      <c r="C3" t="inlineStr"/>
      <c r="D3" t="inlineStr">
        <is>
          <t>India</t>
        </is>
      </c>
      <c r="E3" t="inlineStr">
        <is>
          <t>President, Jay Bharat Maruti Ltd</t>
        </is>
      </c>
      <c r="F3" t="inlineStr">
        <is>
          <t>JV Jain</t>
        </is>
      </c>
      <c r="G3" s="2">
        <f>HYPERLINK("https://in.linkedin.com/in/jv-jain-516550a", "https://in.linkedin.com/in/jv-jain-516550a")</f>
        <v/>
      </c>
    </row>
    <row r="4">
      <c r="A4" t="inlineStr">
        <is>
          <t>JAYBARMARU</t>
        </is>
      </c>
      <c r="B4" s="2">
        <f>HYPERLINK("https://www.jbmgroup.com", "https://www.jbmgroup.com")</f>
        <v/>
      </c>
      <c r="C4" t="inlineStr"/>
      <c r="D4" t="inlineStr">
        <is>
          <t>India</t>
        </is>
      </c>
      <c r="E4" t="inlineStr">
        <is>
          <t>Unit IT Head, JAY BHARAT MARUTI LIMITED</t>
        </is>
      </c>
      <c r="F4" t="inlineStr">
        <is>
          <t>Samrat Singh Arya</t>
        </is>
      </c>
      <c r="G4" s="2">
        <f>HYPERLINK("https://in.linkedin.com/in/samrat-singh-arya-96768965", "https://in.linkedin.com/in/samrat-singh-arya-96768965")</f>
        <v/>
      </c>
    </row>
    <row r="5">
      <c r="A5" t="inlineStr">
        <is>
          <t>JAYBARMARU</t>
        </is>
      </c>
      <c r="B5" s="2">
        <f>HYPERLINK("https://www.jbmgroup.com", "https://www.jbmgroup.com")</f>
        <v/>
      </c>
      <c r="C5" t="inlineStr"/>
      <c r="D5" t="inlineStr">
        <is>
          <t>India</t>
        </is>
      </c>
      <c r="E5" t="inlineStr">
        <is>
          <t>Unit Head (Vice President) - Jay Bharat Maruti Limited</t>
        </is>
      </c>
      <c r="F5" t="inlineStr">
        <is>
          <t>Venkatesh Kotturu</t>
        </is>
      </c>
      <c r="G5" s="2">
        <f>HYPERLINK("https://in.linkedin.com/in/venkatesh-kotturu-a6362223", "https://in.linkedin.com/in/venkatesh-kotturu-a6362223")</f>
        <v/>
      </c>
    </row>
    <row r="6">
      <c r="A6" t="inlineStr">
        <is>
          <t>JAYBARMARU</t>
        </is>
      </c>
      <c r="B6" s="2">
        <f>HYPERLINK("https://www.jbmgroup.com", "https://www.jbmgroup.com")</f>
        <v/>
      </c>
      <c r="C6" t="inlineStr"/>
      <c r="D6" t="inlineStr">
        <is>
          <t>India</t>
        </is>
      </c>
      <c r="E6" t="inlineStr">
        <is>
          <t>Operation Head / Plant Head - Jay Bharat Maruti Limited</t>
        </is>
      </c>
      <c r="F6" t="inlineStr">
        <is>
          <t>Chander Rawat</t>
        </is>
      </c>
      <c r="G6" s="2">
        <f>HYPERLINK("https://in.linkedin.com/in/chander-rawat-89159a111", "https://in.linkedin.com/in/chander-rawat-89159a111")</f>
        <v/>
      </c>
    </row>
    <row r="7">
      <c r="A7" t="inlineStr">
        <is>
          <t>JAYBARMARU</t>
        </is>
      </c>
      <c r="B7" s="2">
        <f>HYPERLINK("https://www.jbmgroup.com", "https://www.jbmgroup.com")</f>
        <v/>
      </c>
      <c r="C7" t="inlineStr"/>
      <c r="D7" t="inlineStr">
        <is>
          <t>India</t>
        </is>
      </c>
      <c r="E7" t="inlineStr">
        <is>
          <t>Director of Materials - Jay Bharat Maruti Limited</t>
        </is>
      </c>
      <c r="F7" t="inlineStr">
        <is>
          <t>Sitki Ciaraldi</t>
        </is>
      </c>
      <c r="G7" s="2">
        <f>HYPERLINK("https://www.linkedin.com/in/sitki-ciaraldi-9a69432a6", "https://www.linkedin.com/in/sitki-ciaraldi-9a69432a6")</f>
        <v/>
      </c>
    </row>
    <row r="8">
      <c r="A8" t="inlineStr">
        <is>
          <t>JAYBARMARU</t>
        </is>
      </c>
      <c r="B8" s="2">
        <f>HYPERLINK("https://www.jbmgroup.com", "https://www.jbmgroup.com")</f>
        <v/>
      </c>
      <c r="C8" t="inlineStr"/>
      <c r="D8" t="inlineStr">
        <is>
          <t>India</t>
        </is>
      </c>
      <c r="E8" t="inlineStr">
        <is>
          <t>Plant Head - Jay Bharat Maruti Limited</t>
        </is>
      </c>
      <c r="F8" t="inlineStr">
        <is>
          <t>Ajit Choudhary</t>
        </is>
      </c>
      <c r="G8" s="2">
        <f>HYPERLINK("https://www.linkedin.com/in/ajit-choudhary-78a706b5", "https://www.linkedin.com/in/ajit-choudhary-78a706b5")</f>
        <v/>
      </c>
    </row>
    <row r="9">
      <c r="A9" t="inlineStr">
        <is>
          <t>JAYBARMARU</t>
        </is>
      </c>
      <c r="B9" s="2">
        <f>HYPERLINK("https://www.jbmgroup.com", "https://www.jbmgroup.com")</f>
        <v/>
      </c>
      <c r="C9" t="inlineStr"/>
      <c r="D9" t="inlineStr">
        <is>
          <t>India</t>
        </is>
      </c>
      <c r="E9" t="inlineStr">
        <is>
          <t>Head - QA - Jay Bharat Maruti Limited</t>
        </is>
      </c>
      <c r="F9" t="inlineStr">
        <is>
          <t>Anand Bhaskar</t>
        </is>
      </c>
      <c r="G9" s="2">
        <f>HYPERLINK("https://in.linkedin.com/in/anand-bhaskar-b186177a", "https://in.linkedin.com/in/anand-bhaskar-b186177a")</f>
        <v/>
      </c>
    </row>
    <row r="10">
      <c r="A10" t="inlineStr">
        <is>
          <t>JAYBARMARU</t>
        </is>
      </c>
      <c r="B10" s="2">
        <f>HYPERLINK("https://www.jbmgroup.com", "https://www.jbmgroup.com")</f>
        <v/>
      </c>
      <c r="C10" t="inlineStr"/>
      <c r="D10" t="inlineStr">
        <is>
          <t>India</t>
        </is>
      </c>
      <c r="E10" t="inlineStr">
        <is>
          <t>Finance Controller &amp; Internal Process Controls - Jay Bharat Maruti Limited</t>
        </is>
      </c>
      <c r="F10" t="inlineStr">
        <is>
          <t>Nitin Kumar</t>
        </is>
      </c>
      <c r="G10" s="2">
        <f>HYPERLINK("https://in.linkedin.com/in/nitin-kumar-474736265", "https://in.linkedin.com/in/nitin-kumar-474736265")</f>
        <v/>
      </c>
    </row>
    <row r="11">
      <c r="A11" t="inlineStr">
        <is>
          <t>JAYBARMARU</t>
        </is>
      </c>
      <c r="B11" s="2">
        <f>HYPERLINK("https://www.jbmgroup.com", "https://www.jbmgroup.com")</f>
        <v/>
      </c>
      <c r="C11" t="inlineStr"/>
      <c r="D11" t="inlineStr">
        <is>
          <t>India</t>
        </is>
      </c>
      <c r="E11" t="inlineStr">
        <is>
          <t>Plant Head - Jay Bharat Maruti Limited</t>
        </is>
      </c>
      <c r="F11" t="inlineStr">
        <is>
          <t>Nitin Jain</t>
        </is>
      </c>
      <c r="G11" s="2">
        <f>HYPERLINK("https://in.linkedin.com/in/nitin-jain-88969137", "https://in.linkedin.com/in/nitin-jain-88969137")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2026-08-03T08:58:54Z</dcterms:created>
  <dcterms:modified xmlns:dcterms="http://purl.org/dc/terms/" xmlns:xsi="http://www.w3.org/2001/XMLSchema-instance" xsi:type="dcterms:W3CDTF">2026-08-03T08:58:54Z</dcterms:modified>
</cp:coreProperties>
</file>