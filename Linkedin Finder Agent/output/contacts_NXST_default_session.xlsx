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ision Mak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6" customWidth="1" min="1" max="1"/>
    <col width="86" customWidth="1" min="2" max="2"/>
    <col width="20" customWidth="1" min="3" max="3"/>
    <col width="15" customWidth="1" min="4" max="4"/>
    <col width="50" customWidth="1" min="5" max="5"/>
    <col width="23" customWidth="1" min="6" max="6"/>
    <col width="130" customWidth="1" min="7" max="7"/>
  </cols>
  <sheetData>
    <row r="1">
      <c r="A1" s="1" t="inlineStr">
        <is>
          <t>Company Name</t>
        </is>
      </c>
      <c r="B1" s="1" t="inlineStr">
        <is>
          <t>Company Website</t>
        </is>
      </c>
      <c r="C1" s="1" t="inlineStr">
        <is>
          <t>Company LinkedIn</t>
        </is>
      </c>
      <c r="D1" s="1" t="inlineStr">
        <is>
          <t>Location</t>
        </is>
      </c>
      <c r="E1" s="1" t="inlineStr">
        <is>
          <t>Decision Maker Position</t>
        </is>
      </c>
      <c r="F1" s="1" t="inlineStr">
        <is>
          <t>Decision Maker Name</t>
        </is>
      </c>
      <c r="G1" s="1" t="inlineStr">
        <is>
          <t>Decision Maker LinkedIn</t>
        </is>
      </c>
    </row>
    <row r="2">
      <c r="A2" t="inlineStr">
        <is>
          <t>NXST</t>
        </is>
      </c>
      <c r="B2" s="2">
        <f>HYPERLINK("https://www.nexusselecttrust.com", "https://www.nexusselecttrust.com")</f>
        <v/>
      </c>
      <c r="C2" t="inlineStr"/>
      <c r="D2" t="inlineStr">
        <is>
          <t>India</t>
        </is>
      </c>
      <c r="E2" t="inlineStr">
        <is>
          <t>Sr. VP - ESG &amp; Business Excellence</t>
        </is>
      </c>
      <c r="F2" t="inlineStr">
        <is>
          <t>Nilesh Singh</t>
        </is>
      </c>
      <c r="G2" s="2">
        <f>HYPERLINK("https://in.linkedin.com/in/nileshkumarsingh", "https://in.linkedin.com/in/nileshkumarsingh")</f>
        <v/>
      </c>
    </row>
    <row r="3">
      <c r="A3" t="inlineStr">
        <is>
          <t>NXST</t>
        </is>
      </c>
      <c r="B3" s="2">
        <f>HYPERLINK("https://www.nexusselecttrust.com", "https://www.nexusselecttrust.com")</f>
        <v/>
      </c>
      <c r="C3" t="inlineStr"/>
      <c r="D3" t="inlineStr">
        <is>
          <t>India</t>
        </is>
      </c>
      <c r="E3" t="inlineStr">
        <is>
          <t>Assistant Vice President - Finance</t>
        </is>
      </c>
      <c r="F3" t="inlineStr">
        <is>
          <t>Adarsh Padmanabhan</t>
        </is>
      </c>
      <c r="G3" s="2">
        <f>HYPERLINK("https://in.linkedin.com/in/adarsh-padmanabhan", "https://in.linkedin.com/in/adarsh-padmanabhan")</f>
        <v/>
      </c>
    </row>
    <row r="4">
      <c r="A4" t="inlineStr">
        <is>
          <t>NXST</t>
        </is>
      </c>
      <c r="B4" s="2">
        <f>HYPERLINK("https://www.nexusselecttrust.com", "https://www.nexusselecttrust.com")</f>
        <v/>
      </c>
      <c r="C4" t="inlineStr"/>
      <c r="D4" t="inlineStr">
        <is>
          <t>India</t>
        </is>
      </c>
      <c r="E4" t="inlineStr">
        <is>
          <t>DGM - Investor Relations</t>
        </is>
      </c>
      <c r="F4" t="inlineStr">
        <is>
          <t>Manish Baid</t>
        </is>
      </c>
      <c r="G4" s="2">
        <f>HYPERLINK("https://in.linkedin.com/in/manish-baid-23068362", "https://in.linkedin.com/in/manish-baid-23068362")</f>
        <v/>
      </c>
    </row>
    <row r="5">
      <c r="A5" t="inlineStr">
        <is>
          <t>NXST</t>
        </is>
      </c>
      <c r="B5" s="2">
        <f>HYPERLINK("https://www.nexusselecttrust.com", "https://www.nexusselecttrust.com")</f>
        <v/>
      </c>
      <c r="C5" t="inlineStr"/>
      <c r="D5" t="inlineStr">
        <is>
          <t>India</t>
        </is>
      </c>
      <c r="E5" t="inlineStr">
        <is>
          <t>Mall Leasing - F&amp;B and Retail</t>
        </is>
      </c>
      <c r="F5" t="inlineStr">
        <is>
          <t>Sarabjit Singh</t>
        </is>
      </c>
      <c r="G5" s="2">
        <f>HYPERLINK("https://in.linkedin.com/in/sarabjit-singh-4a23a2264", "https://in.linkedin.com/in/sarabjit-singh-4a23a2264")</f>
        <v/>
      </c>
    </row>
    <row r="6">
      <c r="A6" t="inlineStr">
        <is>
          <t>NXST</t>
        </is>
      </c>
      <c r="B6" s="2">
        <f>HYPERLINK("https://www.nexusselecttrust.com", "https://www.nexusselecttrust.com")</f>
        <v/>
      </c>
      <c r="C6" t="inlineStr"/>
      <c r="D6" t="inlineStr">
        <is>
          <t>India</t>
        </is>
      </c>
      <c r="E6" t="inlineStr">
        <is>
          <t>Executive Director &amp; CEO</t>
        </is>
      </c>
      <c r="F6" t="inlineStr">
        <is>
          <t>Dalip Sehgal</t>
        </is>
      </c>
      <c r="G6" s="2">
        <f>HYPERLINK("https://in.linkedin.com/in/dalip-sehgal-7a8a1521", "https://in.linkedin.com/in/dalip-sehgal-7a8a1521")</f>
        <v/>
      </c>
    </row>
    <row r="7">
      <c r="A7" t="inlineStr">
        <is>
          <t>NXST</t>
        </is>
      </c>
      <c r="B7" s="2">
        <f>HYPERLINK("https://www.nexusselecttrust.com", "https://www.nexusselecttrust.com")</f>
        <v/>
      </c>
      <c r="C7" t="inlineStr"/>
      <c r="D7" t="inlineStr">
        <is>
          <t>India</t>
        </is>
      </c>
      <c r="E7" t="inlineStr">
        <is>
          <t>Cluster Head - Leasing (Senior Vice President)</t>
        </is>
      </c>
      <c r="F7" t="inlineStr">
        <is>
          <t>Deepak Zutshi</t>
        </is>
      </c>
      <c r="G7" s="2">
        <f>HYPERLINK("https://in.linkedin.com/in/deepak-zutshi-99571a13", "https://in.linkedin.com/in/deepak-zutshi-99571a13")</f>
        <v/>
      </c>
    </row>
    <row r="8">
      <c r="A8" t="inlineStr">
        <is>
          <t>NXST</t>
        </is>
      </c>
      <c r="B8" s="2">
        <f>HYPERLINK("https://www.nexusselecttrust.com", "https://www.nexusselecttrust.com")</f>
        <v/>
      </c>
      <c r="C8" t="inlineStr"/>
      <c r="D8" t="inlineStr">
        <is>
          <t>India</t>
        </is>
      </c>
      <c r="E8" t="inlineStr">
        <is>
          <t>Chief Technology Officer</t>
        </is>
      </c>
      <c r="F8" t="inlineStr">
        <is>
          <t>Omesh Bhujbal</t>
        </is>
      </c>
      <c r="G8" s="2">
        <f>HYPERLINK("https://in.linkedin.com/in/omeshb", "https://in.linkedin.com/in/omeshb")</f>
        <v/>
      </c>
    </row>
    <row r="9">
      <c r="A9" t="inlineStr">
        <is>
          <t>NXST</t>
        </is>
      </c>
      <c r="B9" s="2">
        <f>HYPERLINK("https://www.nexusselecttrust.com", "https://www.nexusselecttrust.com")</f>
        <v/>
      </c>
      <c r="C9" t="inlineStr"/>
      <c r="D9" t="inlineStr">
        <is>
          <t>India</t>
        </is>
      </c>
      <c r="E9" t="inlineStr">
        <is>
          <t>Deputy Cluster Director – Nexus Select Malls</t>
        </is>
      </c>
      <c r="F9" t="inlineStr">
        <is>
          <t>Touseef Ahmed Khan</t>
        </is>
      </c>
      <c r="G9" s="2">
        <f>HYPERLINK("https://in.linkedin.com/in/touseef-ahmed-khan-2221a319", "https://in.linkedin.com/in/touseef-ahmed-khan-2221a319")</f>
        <v/>
      </c>
    </row>
    <row r="10">
      <c r="A10" t="inlineStr">
        <is>
          <t>NXST</t>
        </is>
      </c>
      <c r="B10" s="2">
        <f>HYPERLINK("https://www.nexusselecttrust.com", "https://www.nexusselecttrust.com")</f>
        <v/>
      </c>
      <c r="C10" t="inlineStr"/>
      <c r="D10" t="inlineStr">
        <is>
          <t>India</t>
        </is>
      </c>
      <c r="E10" t="inlineStr">
        <is>
          <t>Cluster Head - Leasing (Vice President)</t>
        </is>
      </c>
      <c r="F10" t="inlineStr">
        <is>
          <t>Sanjeev Bhardwaj</t>
        </is>
      </c>
      <c r="G10" s="2">
        <f>HYPERLINK("https://in.linkedin.com/in/sanjeev-bhardwaj-4733186", "https://in.linkedin.com/in/sanjeev-bhardwaj-4733186")</f>
        <v/>
      </c>
    </row>
    <row r="11">
      <c r="A11" t="inlineStr">
        <is>
          <t>NXST</t>
        </is>
      </c>
      <c r="B11" s="2">
        <f>HYPERLINK("https://www.nexusselecttrust.com", "https://www.nexusselecttrust.com")</f>
        <v/>
      </c>
      <c r="C11" t="inlineStr"/>
      <c r="D11" t="inlineStr">
        <is>
          <t>India</t>
        </is>
      </c>
      <c r="E11" t="inlineStr">
        <is>
          <t>Senior Business Leader / VP</t>
        </is>
      </c>
      <c r="F11" t="inlineStr">
        <is>
          <t>Rahul Dhamdhere</t>
        </is>
      </c>
      <c r="G11" s="2">
        <f>HYPERLINK("https://in.linkedin.com/in/rahul-dhamdhere-50b1376", "https://in.linkedin.com/in/rahul-dhamdhere-50b1376")</f>
        <v/>
      </c>
    </row>
    <row r="12">
      <c r="A12" t="inlineStr">
        <is>
          <t>NXST</t>
        </is>
      </c>
      <c r="B12" s="2">
        <f>HYPERLINK("https://www.nexusselecttrust.com", "https://www.nexusselecttrust.com")</f>
        <v/>
      </c>
      <c r="C12" t="inlineStr"/>
      <c r="D12" t="inlineStr">
        <is>
          <t>India</t>
        </is>
      </c>
      <c r="E12" t="inlineStr">
        <is>
          <t>GM Projects (North)</t>
        </is>
      </c>
      <c r="F12" t="inlineStr">
        <is>
          <t>Poras Sharma</t>
        </is>
      </c>
      <c r="G12" s="2">
        <f>HYPERLINK("https://in.linkedin.com/in/poras-sharma-41468319", "https://in.linkedin.com/in/poras-sharma-41468319")</f>
        <v/>
      </c>
    </row>
    <row r="13">
      <c r="A13" t="inlineStr">
        <is>
          <t>NXST</t>
        </is>
      </c>
      <c r="B13" s="2">
        <f>HYPERLINK("https://www.nexusselecttrust.com", "https://www.nexusselecttrust.com")</f>
        <v/>
      </c>
      <c r="C13" t="inlineStr"/>
      <c r="D13" t="inlineStr">
        <is>
          <t>India</t>
        </is>
      </c>
      <c r="E13" t="inlineStr">
        <is>
          <t>Center Head</t>
        </is>
      </c>
      <c r="F13" t="inlineStr">
        <is>
          <t>Vishant Duggal</t>
        </is>
      </c>
      <c r="G13" s="2">
        <f>HYPERLINK("https://in.linkedin.com/in/vishant-duggal-b2b42b336", "https://in.linkedin.com/in/vishant-duggal-b2b42b336")</f>
        <v/>
      </c>
    </row>
    <row r="14">
      <c r="A14" t="inlineStr">
        <is>
          <t>NXST</t>
        </is>
      </c>
      <c r="B14" s="2">
        <f>HYPERLINK("https://www.nexusselecttrust.com", "https://www.nexusselecttrust.com")</f>
        <v/>
      </c>
      <c r="C14" t="inlineStr"/>
      <c r="D14" t="inlineStr">
        <is>
          <t>India</t>
        </is>
      </c>
      <c r="E14" t="inlineStr">
        <is>
          <t>Company Secretary</t>
        </is>
      </c>
      <c r="F14" t="inlineStr">
        <is>
          <t>Aditi Patnaik</t>
        </is>
      </c>
      <c r="G14" s="2">
        <f>HYPERLINK("https://in.linkedin.com/in/aditi-patnaik-79abbbb5", "https://in.linkedin.com/in/aditi-patnaik-79abbbb5")</f>
        <v/>
      </c>
    </row>
    <row r="15">
      <c r="A15" t="inlineStr">
        <is>
          <t>NXST</t>
        </is>
      </c>
      <c r="B15" s="2">
        <f>HYPERLINK("https://www.nexusselecttrust.com", "https://www.nexusselecttrust.com")</f>
        <v/>
      </c>
      <c r="C15" t="inlineStr"/>
      <c r="D15" t="inlineStr">
        <is>
          <t>India</t>
        </is>
      </c>
      <c r="E15" t="inlineStr">
        <is>
          <t>National OOH &amp; Retail Media Leader</t>
        </is>
      </c>
      <c r="F15" t="inlineStr">
        <is>
          <t>Bhoomi Lakhani</t>
        </is>
      </c>
      <c r="G15" s="2">
        <f>HYPERLINK("https://in.linkedin.com/in/bhoomi-lakhani-9260779", "https://in.linkedin.com/in/bhoomi-lakhani-9260779")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2026-08-03T08:24:08Z</dcterms:created>
  <dcterms:modified xmlns:dcterms="http://purl.org/dc/terms/" xmlns:xsi="http://www.w3.org/2001/XMLSchema-instance" xsi:type="dcterms:W3CDTF">2026-08-03T08:24:08Z</dcterms:modified>
</cp:coreProperties>
</file>