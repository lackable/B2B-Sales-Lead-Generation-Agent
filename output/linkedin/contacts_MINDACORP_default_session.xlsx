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66" customWidth="1" min="2" max="2"/>
    <col width="20" customWidth="1" min="3" max="3"/>
    <col width="15" customWidth="1" min="4" max="4"/>
    <col width="53" customWidth="1" min="5" max="5"/>
    <col width="23" customWidth="1" min="6" max="6"/>
    <col width="118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MINDACORP</t>
        </is>
      </c>
      <c r="B2" s="2">
        <f>HYPERLINK("https://sparkminda.com", "https://sparkminda.com")</f>
        <v/>
      </c>
      <c r="C2" t="inlineStr"/>
      <c r="D2" t="inlineStr">
        <is>
          <t>India</t>
        </is>
      </c>
      <c r="E2" t="inlineStr">
        <is>
          <t>CEO at Minda Corporation Limited</t>
        </is>
      </c>
      <c r="F2" t="inlineStr">
        <is>
          <t>Sumit Doseja</t>
        </is>
      </c>
      <c r="G2" s="2">
        <f>HYPERLINK("https://in.linkedin.com/in/sumit-doseja-80442016", "https://in.linkedin.com/in/sumit-doseja-80442016")</f>
        <v/>
      </c>
    </row>
    <row r="3">
      <c r="A3" t="inlineStr">
        <is>
          <t>MINDACORP</t>
        </is>
      </c>
      <c r="B3" s="2">
        <f>HYPERLINK("https://sparkminda.com", "https://sparkminda.com")</f>
        <v/>
      </c>
      <c r="C3" t="inlineStr"/>
      <c r="D3" t="inlineStr">
        <is>
          <t>India</t>
        </is>
      </c>
      <c r="E3" t="inlineStr">
        <is>
          <t>Group Chief Executive Officer at Spark Minda</t>
        </is>
      </c>
      <c r="F3" t="inlineStr">
        <is>
          <t>Ashok Minda</t>
        </is>
      </c>
      <c r="G3" s="2">
        <f>HYPERLINK("https://in.linkedin.com/in/ashok-minda-3543a51a4", "https://in.linkedin.com/in/ashok-minda-3543a51a4")</f>
        <v/>
      </c>
    </row>
    <row r="4">
      <c r="A4" t="inlineStr">
        <is>
          <t>MINDACORP</t>
        </is>
      </c>
      <c r="B4" s="2">
        <f>HYPERLINK("https://sparkminda.com", "https://sparkminda.com")</f>
        <v/>
      </c>
      <c r="C4" t="inlineStr"/>
      <c r="D4" t="inlineStr">
        <is>
          <t>India</t>
        </is>
      </c>
      <c r="E4" t="inlineStr">
        <is>
          <t>CEO at Spark Minda, Ashok Minda Group</t>
        </is>
      </c>
      <c r="F4" t="inlineStr">
        <is>
          <t>Deepak Arora</t>
        </is>
      </c>
      <c r="G4" s="2">
        <f>HYPERLINK("https://in.linkedin.com/in/deepak-arora-57655215", "https://in.linkedin.com/in/deepak-arora-57655215")</f>
        <v/>
      </c>
    </row>
    <row r="5">
      <c r="A5" t="inlineStr">
        <is>
          <t>MINDACORP</t>
        </is>
      </c>
      <c r="B5" s="2">
        <f>HYPERLINK("https://sparkminda.com", "https://sparkminda.com")</f>
        <v/>
      </c>
      <c r="C5" t="inlineStr"/>
      <c r="D5" t="inlineStr">
        <is>
          <t>India</t>
        </is>
      </c>
      <c r="E5" t="inlineStr">
        <is>
          <t>Executive Director, Minda Corporation Ltd.</t>
        </is>
      </c>
      <c r="F5" t="inlineStr">
        <is>
          <t>Aakash Minda</t>
        </is>
      </c>
      <c r="G5" s="2">
        <f>HYPERLINK("https://in.linkedin.com/in/aakash-minda-638a1121", "https://in.linkedin.com/in/aakash-minda-638a1121")</f>
        <v/>
      </c>
    </row>
    <row r="6">
      <c r="A6" t="inlineStr">
        <is>
          <t>MINDACORP</t>
        </is>
      </c>
      <c r="B6" s="2">
        <f>HYPERLINK("https://sparkminda.com", "https://sparkminda.com")</f>
        <v/>
      </c>
      <c r="C6" t="inlineStr"/>
      <c r="D6" t="inlineStr">
        <is>
          <t>India</t>
        </is>
      </c>
      <c r="E6" t="inlineStr">
        <is>
          <t>CEO at Minda Corporation limited (AMD)</t>
        </is>
      </c>
      <c r="F6" t="inlineStr">
        <is>
          <t>Sunil Goel</t>
        </is>
      </c>
      <c r="G6" s="2">
        <f>HYPERLINK("https://in.linkedin.com/in/sunil-goel-4b275b24", "https://in.linkedin.com/in/sunil-goel-4b275b24")</f>
        <v/>
      </c>
    </row>
    <row r="7">
      <c r="A7" t="inlineStr">
        <is>
          <t>MINDACORP</t>
        </is>
      </c>
      <c r="B7" s="2">
        <f>HYPERLINK("https://sparkminda.com", "https://sparkminda.com")</f>
        <v/>
      </c>
      <c r="C7" t="inlineStr"/>
      <c r="D7" t="inlineStr">
        <is>
          <t>India</t>
        </is>
      </c>
      <c r="E7" t="inlineStr">
        <is>
          <t>Head IT at Minda Corporation Ltd</t>
        </is>
      </c>
      <c r="F7" t="inlineStr">
        <is>
          <t>Sachin Garg</t>
        </is>
      </c>
      <c r="G7" s="2">
        <f>HYPERLINK("https://in.linkedin.com/in/sachin-garg-a7070412", "https://in.linkedin.com/in/sachin-garg-a7070412")</f>
        <v/>
      </c>
    </row>
    <row r="8">
      <c r="A8" t="inlineStr">
        <is>
          <t>MINDACORP</t>
        </is>
      </c>
      <c r="B8" s="2">
        <f>HYPERLINK("https://sparkminda.com", "https://sparkminda.com")</f>
        <v/>
      </c>
      <c r="C8" t="inlineStr"/>
      <c r="D8" t="inlineStr">
        <is>
          <t>India</t>
        </is>
      </c>
      <c r="E8" t="inlineStr">
        <is>
          <t>CEO - Minda Corporation Ltd. Die Casting Division</t>
        </is>
      </c>
      <c r="F8" t="inlineStr">
        <is>
          <t>Ashim Vohra</t>
        </is>
      </c>
      <c r="G8" s="2">
        <f>HYPERLINK("https://in.linkedin.com/in/ashim-vohra-96691021", "https://in.linkedin.com/in/ashim-vohra-96691021")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2026-08-04T05:47:20Z</dcterms:created>
  <dcterms:modified xmlns:dcterms="http://purl.org/dc/terms/" xmlns:xsi="http://www.w3.org/2001/XMLSchema-instance" xsi:type="dcterms:W3CDTF">2026-08-04T05:47:20Z</dcterms:modified>
</cp:coreProperties>
</file>