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20" customWidth="1" min="3" max="3"/>
    <col width="15" customWidth="1" min="4" max="4"/>
    <col width="66" customWidth="1" min="5" max="5"/>
    <col width="28" customWidth="1" min="6" max="6"/>
    <col width="124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SURYODAY</t>
        </is>
      </c>
      <c r="B2" s="2">
        <f>HYPERLINK("https://suryoday.bank.in", "https://suryoday.bank.in")</f>
        <v/>
      </c>
      <c r="C2" t="inlineStr"/>
      <c r="D2" t="inlineStr">
        <is>
          <t>India</t>
        </is>
      </c>
      <c r="E2" t="inlineStr">
        <is>
          <t>Chief Information Officer &amp; Head - Digital Banking</t>
        </is>
      </c>
      <c r="F2" t="inlineStr">
        <is>
          <t>Vishal Singh</t>
        </is>
      </c>
      <c r="G2" s="2">
        <f>HYPERLINK("https://in.linkedin.com/in/vishalsingh2777", "https://in.linkedin.com/in/vishalsingh2777")</f>
        <v/>
      </c>
    </row>
    <row r="3">
      <c r="A3" t="inlineStr">
        <is>
          <t>SURYODAY</t>
        </is>
      </c>
      <c r="B3" s="2">
        <f>HYPERLINK("https://suryoday.bank.in", "https://suryoday.bank.in")</f>
        <v/>
      </c>
      <c r="C3" t="inlineStr"/>
      <c r="D3" t="inlineStr">
        <is>
          <t>India</t>
        </is>
      </c>
      <c r="E3" t="inlineStr">
        <is>
          <t>Chief People Officer &amp; Head of CSR</t>
        </is>
      </c>
      <c r="F3" t="inlineStr">
        <is>
          <t>Pankaj Gulati</t>
        </is>
      </c>
      <c r="G3" s="2">
        <f>HYPERLINK("https://www.linkedin.com/in/pankajgulati", "https://www.linkedin.com/in/pankajgulati")</f>
        <v/>
      </c>
    </row>
    <row r="4">
      <c r="A4" t="inlineStr">
        <is>
          <t>SURYODAY</t>
        </is>
      </c>
      <c r="B4" s="2">
        <f>HYPERLINK("https://suryoday.bank.in", "https://suryoday.bank.in")</f>
        <v/>
      </c>
      <c r="C4" t="inlineStr"/>
      <c r="D4" t="inlineStr">
        <is>
          <t>India</t>
        </is>
      </c>
      <c r="E4" t="inlineStr">
        <is>
          <t>Collection State Head</t>
        </is>
      </c>
      <c r="F4" t="inlineStr">
        <is>
          <t>Hemant Rana</t>
        </is>
      </c>
      <c r="G4" s="2">
        <f>HYPERLINK("https://in.linkedin.com/in/hemant-rana-54b62790", "https://in.linkedin.com/in/hemant-rana-54b62790")</f>
        <v/>
      </c>
    </row>
    <row r="5">
      <c r="A5" t="inlineStr">
        <is>
          <t>SURYODAY</t>
        </is>
      </c>
      <c r="B5" s="2">
        <f>HYPERLINK("https://suryoday.bank.in", "https://suryoday.bank.in")</f>
        <v/>
      </c>
      <c r="C5" t="inlineStr"/>
      <c r="D5" t="inlineStr">
        <is>
          <t>India</t>
        </is>
      </c>
      <c r="E5" t="inlineStr">
        <is>
          <t>Assistant Vice President</t>
        </is>
      </c>
      <c r="F5" t="inlineStr">
        <is>
          <t>Sarvesh Thakur</t>
        </is>
      </c>
      <c r="G5" s="2">
        <f>HYPERLINK("https://in.linkedin.com/in/sarvesh-thakur-7b9bba144", "https://in.linkedin.com/in/sarvesh-thakur-7b9bba144")</f>
        <v/>
      </c>
    </row>
    <row r="6">
      <c r="A6" t="inlineStr">
        <is>
          <t>SURYODAY</t>
        </is>
      </c>
      <c r="B6" s="2">
        <f>HYPERLINK("https://suryoday.bank.in", "https://suryoday.bank.in")</f>
        <v/>
      </c>
      <c r="C6" t="inlineStr"/>
      <c r="D6" t="inlineStr">
        <is>
          <t>India</t>
        </is>
      </c>
      <c r="E6" t="inlineStr">
        <is>
          <t>Managing Director &amp; Chief Executive Officer</t>
        </is>
      </c>
      <c r="F6" t="inlineStr">
        <is>
          <t>Baskar Babu Ramachandran</t>
        </is>
      </c>
      <c r="G6" s="2">
        <f>HYPERLINK("https://in.linkedin.com/in/baskarbabu", "https://in.linkedin.com/in/baskarbabu")</f>
        <v/>
      </c>
    </row>
    <row r="7">
      <c r="A7" t="inlineStr">
        <is>
          <t>SURYODAY</t>
        </is>
      </c>
      <c r="B7" s="2">
        <f>HYPERLINK("https://suryoday.bank.in", "https://suryoday.bank.in")</f>
        <v/>
      </c>
      <c r="C7" t="inlineStr"/>
      <c r="D7" t="inlineStr">
        <is>
          <t>India</t>
        </is>
      </c>
      <c r="E7" t="inlineStr">
        <is>
          <t>Executive Director (Whole-time Executive Director)</t>
        </is>
      </c>
      <c r="F7" t="inlineStr">
        <is>
          <t>Hemant Shah</t>
        </is>
      </c>
      <c r="G7" s="2">
        <f>HYPERLINK("https://in.linkedin.com/in/hemant-shah-0b5b89b", "https://in.linkedin.com/in/hemant-shah-0b5b89b")</f>
        <v/>
      </c>
    </row>
    <row r="8">
      <c r="A8" t="inlineStr">
        <is>
          <t>SURYODAY</t>
        </is>
      </c>
      <c r="B8" s="2">
        <f>HYPERLINK("https://suryoday.bank.in", "https://suryoday.bank.in")</f>
        <v/>
      </c>
      <c r="C8" t="inlineStr"/>
      <c r="D8" t="inlineStr">
        <is>
          <t>India</t>
        </is>
      </c>
      <c r="E8" t="inlineStr">
        <is>
          <t>Chief Financial Officer (CFO)</t>
        </is>
      </c>
      <c r="F8" t="inlineStr">
        <is>
          <t>Kanishka Chaudhary</t>
        </is>
      </c>
      <c r="G8" s="2">
        <f>HYPERLINK("https://in.linkedin.com/in/kanishka-chaudhary", "https://in.linkedin.com/in/kanishka-chaudhary")</f>
        <v/>
      </c>
    </row>
    <row r="9">
      <c r="A9" t="inlineStr">
        <is>
          <t>SURYODAY</t>
        </is>
      </c>
      <c r="B9" s="2">
        <f>HYPERLINK("https://suryoday.bank.in", "https://suryoday.bank.in")</f>
        <v/>
      </c>
      <c r="C9" t="inlineStr"/>
      <c r="D9" t="inlineStr">
        <is>
          <t>India</t>
        </is>
      </c>
      <c r="E9" t="inlineStr">
        <is>
          <t>Chief Risk Officer</t>
        </is>
      </c>
      <c r="F9" t="inlineStr">
        <is>
          <t>Yogesh Dixit</t>
        </is>
      </c>
      <c r="G9" s="2">
        <f>HYPERLINK("https://in.linkedin.com/in/yogesh-dixit-991185a", "https://in.linkedin.com/in/yogesh-dixit-991185a")</f>
        <v/>
      </c>
    </row>
    <row r="10">
      <c r="A10" t="inlineStr">
        <is>
          <t>SURYODAY</t>
        </is>
      </c>
      <c r="B10" s="2">
        <f>HYPERLINK("https://suryoday.bank.in", "https://suryoday.bank.in")</f>
        <v/>
      </c>
      <c r="C10" t="inlineStr"/>
      <c r="D10" t="inlineStr">
        <is>
          <t>India</t>
        </is>
      </c>
      <c r="E10" t="inlineStr">
        <is>
          <t>Business Head - SCF, Machinery Finance and FIG Lending</t>
        </is>
      </c>
      <c r="F10" t="inlineStr">
        <is>
          <t>Sudhakar Mogera</t>
        </is>
      </c>
      <c r="G10" s="2">
        <f>HYPERLINK("https://in.linkedin.com/in/sudhakar-mogera-48013bb", "https://in.linkedin.com/in/sudhakar-mogera-48013bb")</f>
        <v/>
      </c>
    </row>
    <row r="11">
      <c r="A11" t="inlineStr">
        <is>
          <t>SURYODAY</t>
        </is>
      </c>
      <c r="B11" s="2">
        <f>HYPERLINK("https://suryoday.bank.in", "https://suryoday.bank.in")</f>
        <v/>
      </c>
      <c r="C11" t="inlineStr"/>
      <c r="D11" t="inlineStr">
        <is>
          <t>India</t>
        </is>
      </c>
      <c r="E11" t="inlineStr">
        <is>
          <t>Deputy Vice President - IT Infrastructure &amp; Solution Architect</t>
        </is>
      </c>
      <c r="F11" t="inlineStr">
        <is>
          <t>Sanjay Thakur</t>
        </is>
      </c>
      <c r="G11" s="2">
        <f>HYPERLINK("https://in.linkedin.com/in/sanjay-thakur-9bb59115", "https://in.linkedin.com/in/sanjay-thakur-9bb59115")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2026-08-03T08:20:11Z</dcterms:created>
  <dcterms:modified xmlns:dcterms="http://purl.org/dc/terms/" xmlns:xsi="http://www.w3.org/2001/XMLSchema-instance" xsi:type="dcterms:W3CDTF">2026-08-03T08:20:11Z</dcterms:modified>
</cp:coreProperties>
</file>