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66" customWidth="1" min="2" max="2"/>
    <col width="20" customWidth="1" min="3" max="3"/>
    <col width="15" customWidth="1" min="4" max="4"/>
    <col width="79" customWidth="1" min="5" max="5"/>
    <col width="24" customWidth="1" min="6" max="6"/>
    <col width="13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Viyash Scientific Limited</t>
        </is>
      </c>
      <c r="B2" s="2">
        <f>HYPERLINK("https://www.viyash.com", "https://www.viyash.com")</f>
        <v/>
      </c>
      <c r="C2" t="inlineStr"/>
      <c r="D2" t="inlineStr">
        <is>
          <t>India</t>
        </is>
      </c>
      <c r="E2" t="inlineStr">
        <is>
          <t>Senior Vice President - Marketing &amp; Business Development</t>
        </is>
      </c>
      <c r="F2" t="inlineStr">
        <is>
          <t>Rajkamal Varshney</t>
        </is>
      </c>
      <c r="G2" s="2">
        <f>HYPERLINK("https://in.linkedin.com/in/rajkamal-varshney-b24590175", "https://in.linkedin.com/in/rajkamal-varshney-b24590175")</f>
        <v/>
      </c>
    </row>
    <row r="3">
      <c r="A3" t="inlineStr">
        <is>
          <t>Viyash Scientific Limited</t>
        </is>
      </c>
      <c r="B3" s="2">
        <f>HYPERLINK("https://www.viyash.com", "https://www.viyash.com")</f>
        <v/>
      </c>
      <c r="C3" t="inlineStr"/>
      <c r="D3" t="inlineStr">
        <is>
          <t>India</t>
        </is>
      </c>
      <c r="E3" t="inlineStr">
        <is>
          <t>Head - Human Resources (Viyash Life Sciences)</t>
        </is>
      </c>
      <c r="F3" t="inlineStr">
        <is>
          <t>Srinivas M</t>
        </is>
      </c>
      <c r="G3" s="2">
        <f>HYPERLINK("https://in.linkedin.com/in/srinivas-m-973b4817", "https://in.linkedin.com/in/srinivas-m-973b4817")</f>
        <v/>
      </c>
    </row>
    <row r="4">
      <c r="A4" t="inlineStr">
        <is>
          <t>Viyash Scientific Limited</t>
        </is>
      </c>
      <c r="B4" s="2">
        <f>HYPERLINK("https://www.viyash.com", "https://www.viyash.com")</f>
        <v/>
      </c>
      <c r="C4" t="inlineStr"/>
      <c r="D4" t="inlineStr">
        <is>
          <t>India</t>
        </is>
      </c>
      <c r="E4" t="inlineStr">
        <is>
          <t>Head - Tech Transfer &amp; Process Development</t>
        </is>
      </c>
      <c r="F4" t="inlineStr">
        <is>
          <t>Dr. V.S.R. Prasad</t>
        </is>
      </c>
      <c r="G4" s="2">
        <f>HYPERLINK("https://in.linkedin.com/in/dr-v-s-r-prasad-089bb115", "https://in.linkedin.com/in/dr-v-s-r-prasad-089bb115")</f>
        <v/>
      </c>
    </row>
    <row r="5">
      <c r="A5" t="inlineStr">
        <is>
          <t>Viyash Scientific Limited</t>
        </is>
      </c>
      <c r="B5" s="2">
        <f>HYPERLINK("https://www.viyash.com", "https://www.viyash.com")</f>
        <v/>
      </c>
      <c r="C5" t="inlineStr"/>
      <c r="D5" t="inlineStr">
        <is>
          <t>India</t>
        </is>
      </c>
      <c r="E5" t="inlineStr">
        <is>
          <t>Vice President (Viyash Life Sciences)</t>
        </is>
      </c>
      <c r="F5" t="inlineStr">
        <is>
          <t>Srinivasarao Attanti</t>
        </is>
      </c>
      <c r="G5" s="2">
        <f>HYPERLINK("https://in.linkedin.com/in/srinivasarao-attanti-b2190a286", "https://in.linkedin.com/in/srinivasarao-attanti-b2190a286")</f>
        <v/>
      </c>
    </row>
    <row r="6">
      <c r="A6" t="inlineStr">
        <is>
          <t>Viyash Scientific Limited</t>
        </is>
      </c>
      <c r="B6" s="2">
        <f>HYPERLINK("https://www.viyash.com", "https://www.viyash.com")</f>
        <v/>
      </c>
      <c r="C6" t="inlineStr"/>
      <c r="D6" t="inlineStr">
        <is>
          <t>India</t>
        </is>
      </c>
      <c r="E6" t="inlineStr">
        <is>
          <t>Senior Vice President - Head SCM, Viyash Life Sciences Pvt Ltd</t>
        </is>
      </c>
      <c r="F6" t="inlineStr">
        <is>
          <t>Jagannatha Reddy</t>
        </is>
      </c>
      <c r="G6" s="2">
        <f>HYPERLINK("https://in.linkedin.com/in/jagannatha-reddy-0907aa187", "https://in.linkedin.com/in/jagannatha-reddy-0907aa187")</f>
        <v/>
      </c>
    </row>
    <row r="7">
      <c r="A7" t="inlineStr">
        <is>
          <t>Viyash Scientific Limited</t>
        </is>
      </c>
      <c r="B7" s="2">
        <f>HYPERLINK("https://www.viyash.com", "https://www.viyash.com")</f>
        <v/>
      </c>
      <c r="C7" t="inlineStr"/>
      <c r="D7" t="inlineStr">
        <is>
          <t>India</t>
        </is>
      </c>
      <c r="E7" t="inlineStr">
        <is>
          <t>CFO / Chief Financial Officer, Viyash Life Sciences / Viyash Scientific Ltd</t>
        </is>
      </c>
      <c r="F7" t="inlineStr">
        <is>
          <t>Ramakant Singani</t>
        </is>
      </c>
      <c r="G7" s="2">
        <f>HYPERLINK("https://in.linkedin.com/in/ramakant-singani-3951ab6", "https://in.linkedin.com/in/ramakant-singani-3951ab6")</f>
        <v/>
      </c>
    </row>
    <row r="8">
      <c r="A8" t="inlineStr">
        <is>
          <t>Viyash Scientific Limited</t>
        </is>
      </c>
      <c r="B8" s="2">
        <f>HYPERLINK("https://www.viyash.com", "https://www.viyash.com")</f>
        <v/>
      </c>
      <c r="C8" t="inlineStr"/>
      <c r="D8" t="inlineStr">
        <is>
          <t>India</t>
        </is>
      </c>
      <c r="E8" t="inlineStr">
        <is>
          <t>Head API R&amp;D, Viyash Life Sciences</t>
        </is>
      </c>
      <c r="F8" t="inlineStr">
        <is>
          <t>Dr. Pramod Kumar</t>
        </is>
      </c>
      <c r="G8" s="2">
        <f>HYPERLINK("https://in.linkedin.com/in/dr-pramod-kumar-36a14015", "https://in.linkedin.com/in/dr-pramod-kumar-36a14015")</f>
        <v/>
      </c>
    </row>
    <row r="9">
      <c r="A9" t="inlineStr">
        <is>
          <t>Viyash Scientific Limited</t>
        </is>
      </c>
      <c r="B9" s="2">
        <f>HYPERLINK("https://www.viyash.com", "https://www.viyash.com")</f>
        <v/>
      </c>
      <c r="C9" t="inlineStr"/>
      <c r="D9" t="inlineStr">
        <is>
          <t>India</t>
        </is>
      </c>
      <c r="E9" t="inlineStr">
        <is>
          <t>Deputy General Manager, Viyash Life Science (API)</t>
        </is>
      </c>
      <c r="F9" t="inlineStr">
        <is>
          <t>Madan Gupta Dasari</t>
        </is>
      </c>
      <c r="G9" s="2">
        <f>HYPERLINK("https://in.linkedin.com/in/madan-gupta-dasari-70391390", "https://in.linkedin.com/in/madan-gupta-dasari-70391390")</f>
        <v/>
      </c>
    </row>
    <row r="10">
      <c r="A10" t="inlineStr">
        <is>
          <t>Viyash Scientific Limited</t>
        </is>
      </c>
      <c r="B10" s="2">
        <f>HYPERLINK("https://www.viyash.com", "https://www.viyash.com")</f>
        <v/>
      </c>
      <c r="C10" t="inlineStr"/>
      <c r="D10" t="inlineStr">
        <is>
          <t>India</t>
        </is>
      </c>
      <c r="E10" t="inlineStr">
        <is>
          <t>Site Head, Viyash Life Sciences Pvt Ltd</t>
        </is>
      </c>
      <c r="F10" t="inlineStr">
        <is>
          <t>Sandip Shah</t>
        </is>
      </c>
      <c r="G10" s="2">
        <f>HYPERLINK("https://in.linkedin.com/in/sandip-shah-464663236", "https://in.linkedin.com/in/sandip-shah-464663236")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2026-08-05T17:41:36Z</dcterms:created>
  <dcterms:modified xmlns:dcterms="http://purl.org/dc/terms/" xmlns:xsi="http://www.w3.org/2001/XMLSchema-instance" xsi:type="dcterms:W3CDTF">2026-08-05T17:41:36Z</dcterms:modified>
</cp:coreProperties>
</file>