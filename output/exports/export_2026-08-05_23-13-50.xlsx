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Overview" sheetId="1" state="visible" r:id="rId1"/>
    <sheet xmlns:r="http://schemas.openxmlformats.org/officeDocument/2006/relationships" name="_dm_data" sheetId="2" state="hidden" r:id="rId2"/>
    <sheet xmlns:r="http://schemas.openxmlformats.org/officeDocument/2006/relationships" name="Decision Maker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color rgb="001D4ED8"/>
      <sz val="10"/>
      <u val="single"/>
    </font>
    <font>
      <name val="Arial"/>
      <b val="1"/>
      <color rgb="00FFFFFF"/>
      <sz val="12"/>
    </font>
    <font>
      <name val="Arial"/>
      <b val="1"/>
      <color rgb="002F5496"/>
      <sz val="10"/>
    </font>
    <font>
      <name val="Arial"/>
      <sz val="10"/>
    </font>
    <font>
      <name val="Arial"/>
      <color rgb="000563C1"/>
      <sz val="10"/>
      <u val="single"/>
    </font>
  </fonts>
  <fills count="8">
    <fill>
      <patternFill/>
    </fill>
    <fill>
      <patternFill patternType="gray125"/>
    </fill>
    <fill>
      <patternFill patternType="solid">
        <fgColor rgb="001E3A5F"/>
      </patternFill>
    </fill>
    <fill>
      <patternFill patternType="solid">
        <fgColor rgb="00EFF6FF"/>
      </patternFill>
    </fill>
    <fill>
      <patternFill patternType="solid">
        <fgColor rgb="00FFFFFF"/>
      </patternFill>
    </fill>
    <fill>
      <patternFill patternType="solid">
        <fgColor rgb="002F5496"/>
      </patternFill>
    </fill>
    <fill>
      <patternFill patternType="solid">
        <fgColor rgb="00D6E4F0"/>
      </patternFill>
    </fill>
    <fill>
      <patternFill patternType="solid">
        <fgColor rgb="00F2F2F2"/>
      </patternFill>
    </fill>
  </fills>
  <borders count="3">
    <border>
      <left/>
      <right/>
      <top/>
      <bottom/>
      <diagonal/>
    </border>
    <border>
      <left style="thin">
        <color rgb="00D1D5DB"/>
      </left>
      <right style="thin">
        <color rgb="00D1D5DB"/>
      </right>
      <top style="thin">
        <color rgb="00D1D5DB"/>
      </top>
      <bottom style="thin">
        <color rgb="00D1D5DB"/>
      </bottom>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3" fillId="4" borderId="1" applyAlignment="1" pivotButton="0" quotePrefix="0" xfId="0">
      <alignment vertical="top"/>
    </xf>
    <xf numFmtId="0" fontId="2" fillId="4" borderId="1" applyAlignment="1" pivotButton="0" quotePrefix="0" xfId="0">
      <alignment vertical="top" wrapText="1"/>
    </xf>
    <xf numFmtId="0" fontId="4" fillId="5" borderId="2" applyAlignment="1" pivotButton="0" quotePrefix="0" xfId="0">
      <alignment horizontal="center" vertical="center"/>
    </xf>
    <xf numFmtId="0" fontId="0" fillId="5" borderId="2" pivotButton="0" quotePrefix="0" xfId="0"/>
    <xf numFmtId="0" fontId="5" fillId="6"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vertical="center" wrapText="1"/>
    </xf>
    <xf numFmtId="0" fontId="7" fillId="0" borderId="2" applyAlignment="1" pivotButton="0" quotePrefix="0" xfId="0">
      <alignment vertical="center" wrapText="1"/>
    </xf>
    <xf numFmtId="0" fontId="6" fillId="7" borderId="2" applyAlignment="1" pivotButton="0" quotePrefix="0" xfId="0">
      <alignment horizontal="center" vertical="center"/>
    </xf>
    <xf numFmtId="0" fontId="6" fillId="7" borderId="2" applyAlignment="1" pivotButton="0" quotePrefix="0" xfId="0">
      <alignment vertical="center" wrapText="1"/>
    </xf>
    <xf numFmtId="0" fontId="7" fillId="7"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m_source_table" displayName="dm_source_table" ref="A1:F69" headerRowCount="1">
  <autoFilter ref="A1:F69"/>
  <tableColumns count="6">
    <tableColumn id="1" name="Company Name"/>
    <tableColumn id="2" name="DM Name"/>
    <tableColumn id="3" name="Position"/>
    <tableColumn id="4" name="DM LinkedIn"/>
    <tableColumn id="5" name="Email"/>
    <tableColumn id="6" name="Phone"/>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kums.in" TargetMode="External" Id="rId1"/><Relationship Type="http://schemas.openxmlformats.org/officeDocument/2006/relationships/hyperlink" Target="https://www.linkedin.com/company/akums" TargetMode="External" Id="rId2"/><Relationship Type="http://schemas.openxmlformats.org/officeDocument/2006/relationships/hyperlink" Target="https://www.indegene.com" TargetMode="External" Id="rId3"/><Relationship Type="http://schemas.openxmlformats.org/officeDocument/2006/relationships/hyperlink" Target="https://www.linkedin.com/company/indegene" TargetMode="External" Id="rId4"/><Relationship Type="http://schemas.openxmlformats.org/officeDocument/2006/relationships/hyperlink" Target="https://www.wockhardt.com" TargetMode="External" Id="rId5"/><Relationship Type="http://schemas.openxmlformats.org/officeDocument/2006/relationships/hyperlink" Target="https://www.linkedin.com/company/wockhardt" TargetMode="External" Id="rId6"/><Relationship Type="http://schemas.openxmlformats.org/officeDocument/2006/relationships/hyperlink" Target="https://marksanspharma.com" TargetMode="External" Id="rId7"/><Relationship Type="http://schemas.openxmlformats.org/officeDocument/2006/relationships/hyperlink" Target="https://www.linkedin.com/company/marksans-pharma-ltd---india" TargetMode="External" Id="rId8"/><Relationship Type="http://schemas.openxmlformats.org/officeDocument/2006/relationships/hyperlink" Target="https://imdcal.com" TargetMode="External" Id="rId9"/><Relationship Type="http://schemas.openxmlformats.org/officeDocument/2006/relationships/hyperlink" Target="https://www.linkedin.com/company/dishman" TargetMode="External" Id="rId10"/><Relationship Type="http://schemas.openxmlformats.org/officeDocument/2006/relationships/hyperlink" Target="https://www.aartidrugs.co.in" TargetMode="External" Id="rId11"/><Relationship Type="http://schemas.openxmlformats.org/officeDocument/2006/relationships/hyperlink" Target="https://www.linkedin.com/company/aarti-drugs-limited" TargetMode="External" Id="rId12"/><Relationship Type="http://schemas.openxmlformats.org/officeDocument/2006/relationships/hyperlink" Target="https://www.viyash.com" TargetMode="External" Id="rId13"/><Relationship Type="http://schemas.openxmlformats.org/officeDocument/2006/relationships/hyperlink" Target="https://www.linkedin.com/company/viyash-life-sciences-pvt-ltd" TargetMode="External" Id="rId14"/><Relationship Type="http://schemas.openxmlformats.org/officeDocument/2006/relationships/hyperlink" Target="https://www.anupamrasayan.com" TargetMode="External" Id="rId15"/><Relationship Type="http://schemas.openxmlformats.org/officeDocument/2006/relationships/hyperlink" Target="https://www.linkedin.com/company/anupam-rasayan-india-ltd" TargetMode="External" Id="rId16"/><Relationship Type="http://schemas.openxmlformats.org/officeDocument/2006/relationships/hyperlink" Target="https://www.astrazeneca.in" TargetMode="External" Id="rId17"/><Relationship Type="http://schemas.openxmlformats.org/officeDocument/2006/relationships/hyperlink" Target="https://www.linkedin.com/company/astrazenecaindia" TargetMode="External" Id="rId18"/><Relationship Type="http://schemas.openxmlformats.org/officeDocument/2006/relationships/hyperlink" Target="https://www.cohance.com" TargetMode="External" Id="rId19"/><Relationship Type="http://schemas.openxmlformats.org/officeDocument/2006/relationships/hyperlink" Target="https://www.linkedin.com/company/cohance-lifesciences" TargetMode="External" Id="rId2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in.linkedin.com/in/harit-shah-003168156" TargetMode="External" Id="rId1"/><Relationship Type="http://schemas.openxmlformats.org/officeDocument/2006/relationships/hyperlink" Target="https://in.linkedin.com/in/adhishpatil" TargetMode="External" Id="rId2"/><Relationship Type="http://schemas.openxmlformats.org/officeDocument/2006/relationships/hyperlink" Target="https://in.linkedin.com/in/anil-pandya-88a95552" TargetMode="External" Id="rId3"/><Relationship Type="http://schemas.openxmlformats.org/officeDocument/2006/relationships/hyperlink" Target="https://in.linkedin.com/in/rashesh-gogri-8691152a" TargetMode="External" Id="rId4"/><Relationship Type="http://schemas.openxmlformats.org/officeDocument/2006/relationships/hyperlink" Target="https://in.linkedin.com/in/harshit-savla-b21659180" TargetMode="External" Id="rId5"/><Relationship Type="http://schemas.openxmlformats.org/officeDocument/2006/relationships/hyperlink" Target="https://in.linkedin.com/in/rushikesh-deole-86a11712b" TargetMode="External" Id="rId6"/><Relationship Type="http://schemas.openxmlformats.org/officeDocument/2006/relationships/hyperlink" Target="https://in.linkedin.com/in/sandeep-jain-akums" TargetMode="External" Id="rId7"/><Relationship Type="http://schemas.openxmlformats.org/officeDocument/2006/relationships/hyperlink" Target="https://in.linkedin.com/in/sanjeev-jain-ab257a2a" TargetMode="External" Id="rId8"/><Relationship Type="http://schemas.openxmlformats.org/officeDocument/2006/relationships/hyperlink" Target="https://in.linkedin.com/in/arushi-jain-15998264" TargetMode="External" Id="rId9"/><Relationship Type="http://schemas.openxmlformats.org/officeDocument/2006/relationships/hyperlink" Target="https://in.linkedin.com/in/manmohan-singh-282671209" TargetMode="External" Id="rId10"/><Relationship Type="http://schemas.openxmlformats.org/officeDocument/2006/relationships/hyperlink" Target="https://in.linkedin.com/in/arvind-srivastava-26282a1a" TargetMode="External" Id="rId11"/><Relationship Type="http://schemas.openxmlformats.org/officeDocument/2006/relationships/hyperlink" Target="https://in.linkedin.com/in/arun-salhotra-3ab1221a4" TargetMode="External" Id="rId12"/><Relationship Type="http://schemas.openxmlformats.org/officeDocument/2006/relationships/hyperlink" Target="https://in.linkedin.com/in/ashish-jain-ba3600120" TargetMode="External" Id="rId13"/><Relationship Type="http://schemas.openxmlformats.org/officeDocument/2006/relationships/hyperlink" Target="https://in.linkedin.com/in/ravi-desai-8bbb8740" TargetMode="External" Id="rId14"/><Relationship Type="http://schemas.openxmlformats.org/officeDocument/2006/relationships/hyperlink" Target="https://in.linkedin.com/in/ujvalvaishnav" TargetMode="External" Id="rId15"/><Relationship Type="http://schemas.openxmlformats.org/officeDocument/2006/relationships/hyperlink" Target="https://in.linkedin.com/in/anand-desai-2b78b28" TargetMode="External" Id="rId16"/><Relationship Type="http://schemas.openxmlformats.org/officeDocument/2006/relationships/hyperlink" Target="https://in.linkedin.com/in/gopal-agrawal-ba870315" TargetMode="External" Id="rId17"/><Relationship Type="http://schemas.openxmlformats.org/officeDocument/2006/relationships/hyperlink" Target="https://in.linkedin.com/in/himanshu-bhatt-839499287" TargetMode="External" Id="rId18"/><Relationship Type="http://schemas.openxmlformats.org/officeDocument/2006/relationships/hyperlink" Target="https://in.linkedin.com/in/praveen-rao-akkinepally-90727245" TargetMode="External" Id="rId19"/><Relationship Type="http://schemas.openxmlformats.org/officeDocument/2006/relationships/hyperlink" Target="https://in.linkedin.com/in/govindrajith" TargetMode="External" Id="rId20"/><Relationship Type="http://schemas.openxmlformats.org/officeDocument/2006/relationships/hyperlink" Target="https://in.linkedin.com/in/tapankumar-shah-1a5a1716" TargetMode="External" Id="rId21"/><Relationship Type="http://schemas.openxmlformats.org/officeDocument/2006/relationships/hyperlink" Target="https://in.linkedin.com/in/jagannathan-sekar-7bab7a3" TargetMode="External" Id="rId22"/><Relationship Type="http://schemas.openxmlformats.org/officeDocument/2006/relationships/hyperlink" Target="https://www.linkedin.com/in/dr-sanjeev-panchal-b282486" TargetMode="External" Id="rId23"/><Relationship Type="http://schemas.openxmlformats.org/officeDocument/2006/relationships/hyperlink" Target="https://in.linkedin.com/in/dr-prasada-raju-v-b5073bb8" TargetMode="External" Id="rId24"/><Relationship Type="http://schemas.openxmlformats.org/officeDocument/2006/relationships/hyperlink" Target="https://in.linkedin.com/in/sharmasomesh71" TargetMode="External" Id="rId25"/><Relationship Type="http://schemas.openxmlformats.org/officeDocument/2006/relationships/hyperlink" Target="https://in.linkedin.com/in/sukhwinder-singh-0a512417" TargetMode="External" Id="rId26"/><Relationship Type="http://schemas.openxmlformats.org/officeDocument/2006/relationships/hyperlink" Target="https://in.linkedin.com/in/msnreddy-reddy-423022300" TargetMode="External" Id="rId27"/><Relationship Type="http://schemas.openxmlformats.org/officeDocument/2006/relationships/hyperlink" Target="https://in.linkedin.com/in/shravan-reddy-j-6068702b" TargetMode="External" Id="rId28"/><Relationship Type="http://schemas.openxmlformats.org/officeDocument/2006/relationships/hyperlink" Target="https://in.linkedin.com/in/vamshireddy01" TargetMode="External" Id="rId29"/><Relationship Type="http://schemas.openxmlformats.org/officeDocument/2006/relationships/hyperlink" Target="https://in.linkedin.com/in/singhgunjan" TargetMode="External" Id="rId30"/><Relationship Type="http://schemas.openxmlformats.org/officeDocument/2006/relationships/hyperlink" Target="https://in.linkedin.com/in/dr-madhusudhan-reddy-ganta-988b0520" TargetMode="External" Id="rId31"/><Relationship Type="http://schemas.openxmlformats.org/officeDocument/2006/relationships/hyperlink" Target="https://in.linkedin.com/in/mohit-kumar-pareek-1ba81836" TargetMode="External" Id="rId32"/><Relationship Type="http://schemas.openxmlformats.org/officeDocument/2006/relationships/hyperlink" Target="https://in.linkedin.com/in/rajkumar-mirajgave-57618921" TargetMode="External" Id="rId33"/><Relationship Type="http://schemas.openxmlformats.org/officeDocument/2006/relationships/hyperlink" Target="https://in.linkedin.com/in/manoj-madhav-25074041" TargetMode="External" Id="rId34"/><Relationship Type="http://schemas.openxmlformats.org/officeDocument/2006/relationships/hyperlink" Target="https://in.linkedin.com/in/mikin-chauhan-718b481b5" TargetMode="External" Id="rId35"/><Relationship Type="http://schemas.openxmlformats.org/officeDocument/2006/relationships/hyperlink" Target="https://in.linkedin.com/in/mayur-jethva-227b3b32" TargetMode="External" Id="rId36"/><Relationship Type="http://schemas.openxmlformats.org/officeDocument/2006/relationships/hyperlink" Target="https://www.linkedin.com/in/dr-rajesh-nair-84455a" TargetMode="External" Id="rId37"/><Relationship Type="http://schemas.openxmlformats.org/officeDocument/2006/relationships/hyperlink" Target="https://in.linkedin.com/in/globalcme" TargetMode="External" Id="rId38"/><Relationship Type="http://schemas.openxmlformats.org/officeDocument/2006/relationships/hyperlink" Target="https://www.linkedin.com/in/mobilemoney1" TargetMode="External" Id="rId39"/><Relationship Type="http://schemas.openxmlformats.org/officeDocument/2006/relationships/hyperlink" Target="https://in.linkedin.com/in/manish-gupta-4b85b2" TargetMode="External" Id="rId40"/><Relationship Type="http://schemas.openxmlformats.org/officeDocument/2006/relationships/hyperlink" Target="https://in.linkedin.com/in/guptaamitk" TargetMode="External" Id="rId41"/><Relationship Type="http://schemas.openxmlformats.org/officeDocument/2006/relationships/hyperlink" Target="https://in.linkedin.com/in/nishantharao" TargetMode="External" Id="rId42"/><Relationship Type="http://schemas.openxmlformats.org/officeDocument/2006/relationships/hyperlink" Target="https://in.linkedin.com/in/abhinna-sundar-mohanty-1276aa18" TargetMode="External" Id="rId43"/><Relationship Type="http://schemas.openxmlformats.org/officeDocument/2006/relationships/hyperlink" Target="https://in.linkedin.com/in/piyush-joshi-278bb243" TargetMode="External" Id="rId44"/><Relationship Type="http://schemas.openxmlformats.org/officeDocument/2006/relationships/hyperlink" Target="https://in.linkedin.com/in/sunil-rane-0429b7137" TargetMode="External" Id="rId45"/><Relationship Type="http://schemas.openxmlformats.org/officeDocument/2006/relationships/hyperlink" Target="https://in.linkedin.com/in/anurag-pathak-9a4a0b85" TargetMode="External" Id="rId46"/><Relationship Type="http://schemas.openxmlformats.org/officeDocument/2006/relationships/hyperlink" Target="https://in.linkedin.com/in/vikas-bhargava-8393705" TargetMode="External" Id="rId47"/><Relationship Type="http://schemas.openxmlformats.org/officeDocument/2006/relationships/hyperlink" Target="https://in.linkedin.com/in/sopan-pisal-324b1214" TargetMode="External" Id="rId48"/><Relationship Type="http://schemas.openxmlformats.org/officeDocument/2006/relationships/hyperlink" Target="https://in.linkedin.com/in/chaitanya-kulkarni-1429b810" TargetMode="External" Id="rId49"/><Relationship Type="http://schemas.openxmlformats.org/officeDocument/2006/relationships/hyperlink" Target="https://in.linkedin.com/in/rudra-singh-40065220" TargetMode="External" Id="rId50"/><Relationship Type="http://schemas.openxmlformats.org/officeDocument/2006/relationships/hyperlink" Target="https://in.linkedin.com/in/jitendra-sharma-a4480a6" TargetMode="External" Id="rId51"/><Relationship Type="http://schemas.openxmlformats.org/officeDocument/2006/relationships/hyperlink" Target="https://www.linkedin.com/in/anjani-kumar-04908b11b" TargetMode="External" Id="rId52"/><Relationship Type="http://schemas.openxmlformats.org/officeDocument/2006/relationships/hyperlink" Target="https://in.linkedin.com/in/prashanth-kumar-886138108" TargetMode="External" Id="rId53"/><Relationship Type="http://schemas.openxmlformats.org/officeDocument/2006/relationships/hyperlink" Target="https://in.linkedin.com/in/rajkamal-varshney-b24590175" TargetMode="External" Id="rId54"/><Relationship Type="http://schemas.openxmlformats.org/officeDocument/2006/relationships/hyperlink" Target="https://in.linkedin.com/in/srinivas-m-973b4817" TargetMode="External" Id="rId55"/><Relationship Type="http://schemas.openxmlformats.org/officeDocument/2006/relationships/hyperlink" Target="https://in.linkedin.com/in/dr-v-s-r-prasad-089bb115" TargetMode="External" Id="rId56"/><Relationship Type="http://schemas.openxmlformats.org/officeDocument/2006/relationships/hyperlink" Target="https://in.linkedin.com/in/srinivasarao-attanti-b2190a286" TargetMode="External" Id="rId57"/><Relationship Type="http://schemas.openxmlformats.org/officeDocument/2006/relationships/hyperlink" Target="https://in.linkedin.com/in/jagannatha-reddy-0907aa187" TargetMode="External" Id="rId58"/><Relationship Type="http://schemas.openxmlformats.org/officeDocument/2006/relationships/hyperlink" Target="https://in.linkedin.com/in/ramakant-singani-3951ab6" TargetMode="External" Id="rId59"/><Relationship Type="http://schemas.openxmlformats.org/officeDocument/2006/relationships/hyperlink" Target="https://in.linkedin.com/in/dr-pramod-kumar-36a14015" TargetMode="External" Id="rId60"/><Relationship Type="http://schemas.openxmlformats.org/officeDocument/2006/relationships/hyperlink" Target="https://in.linkedin.com/in/madan-gupta-dasari-70391390" TargetMode="External" Id="rId61"/><Relationship Type="http://schemas.openxmlformats.org/officeDocument/2006/relationships/hyperlink" Target="https://in.linkedin.com/in/sandip-shah-464663236" TargetMode="External" Id="rId62"/><Relationship Type="http://schemas.openxmlformats.org/officeDocument/2006/relationships/hyperlink" Target="https://in.linkedin.com/in/murtazakhorakiwala" TargetMode="External" Id="rId63"/><Relationship Type="http://schemas.openxmlformats.org/officeDocument/2006/relationships/hyperlink" Target="https://in.linkedin.com/in/prthwijit-kundu-17132419" TargetMode="External" Id="rId64"/><Relationship Type="http://schemas.openxmlformats.org/officeDocument/2006/relationships/hyperlink" Target="https://in.linkedin.com/in/dr-parag-r-rindani-3733524" TargetMode="External" Id="rId65"/><Relationship Type="http://schemas.openxmlformats.org/officeDocument/2006/relationships/hyperlink" Target="https://in.linkedin.com/in/annapurna-das-10aa394" TargetMode="External" Id="rId66"/><Relationship Type="http://schemas.openxmlformats.org/officeDocument/2006/relationships/hyperlink" Target="https://in.linkedin.com/in/suresh-v-68661176" TargetMode="External" Id="rId67"/><Relationship Type="http://schemas.openxmlformats.org/officeDocument/2006/relationships/hyperlink" Target="https://in.linkedin.com/in/suresh-shenoy-661aa722" TargetMode="External" Id="rId68"/></Relationships>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16" customWidth="1" min="3" max="3"/>
    <col width="14" customWidth="1" min="4" max="4"/>
    <col width="32" customWidth="1" min="5" max="5"/>
    <col width="60" customWidth="1" min="6" max="6"/>
    <col width="14" customWidth="1" min="7" max="7"/>
    <col width="36" customWidth="1" min="8" max="8"/>
  </cols>
  <sheetData>
    <row r="1" ht="22" customHeight="1">
      <c r="A1" s="1" t="inlineStr">
        <is>
          <t>Company Name</t>
        </is>
      </c>
      <c r="B1" s="1" t="inlineStr">
        <is>
          <t>Industry</t>
        </is>
      </c>
      <c r="C1" s="1" t="inlineStr">
        <is>
          <t>Revenue</t>
        </is>
      </c>
      <c r="D1" s="1" t="inlineStr">
        <is>
          <t>Location</t>
        </is>
      </c>
      <c r="E1" s="1" t="inlineStr">
        <is>
          <t>Company Website</t>
        </is>
      </c>
      <c r="F1" s="1" t="inlineStr">
        <is>
          <t>Company Description</t>
        </is>
      </c>
      <c r="G1" s="1" t="inlineStr">
        <is>
          <t>Employee Count</t>
        </is>
      </c>
      <c r="H1" s="1" t="inlineStr">
        <is>
          <t>Company LinkedIn</t>
        </is>
      </c>
    </row>
    <row r="2">
      <c r="A2" s="2" t="inlineStr">
        <is>
          <t>AKUMS DRUGS AND PHARMA L</t>
        </is>
      </c>
      <c r="B2" s="2" t="inlineStr">
        <is>
          <t>Biotechnology</t>
        </is>
      </c>
      <c r="C2" s="2" t="inlineStr">
        <is>
          <t>43590170000</t>
        </is>
      </c>
      <c r="D2" s="2" t="inlineStr">
        <is>
          <t>Delhi, India</t>
        </is>
      </c>
      <c r="E2" s="3" t="inlineStr">
        <is>
          <t>https://www.akums.in</t>
        </is>
      </c>
      <c r="F2" s="4"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t>
        </is>
      </c>
      <c r="G2" s="2" t="inlineStr">
        <is>
          <t>7337</t>
        </is>
      </c>
      <c r="H2" s="3" t="inlineStr">
        <is>
          <t>https://www.linkedin.com/company/akums</t>
        </is>
      </c>
    </row>
    <row r="3">
      <c r="A3" s="5" t="inlineStr">
        <is>
          <t>INDEGENE LIMITED</t>
        </is>
      </c>
      <c r="B3" s="5" t="inlineStr">
        <is>
          <t>Pharmaceuticals: Major</t>
        </is>
      </c>
      <c r="C3" s="5" t="inlineStr">
        <is>
          <t>38128000000</t>
        </is>
      </c>
      <c r="D3" s="5" t="inlineStr">
        <is>
          <t>Bengaluru, India</t>
        </is>
      </c>
      <c r="E3" s="6" t="inlineStr">
        <is>
          <t>https://www.indegene.com</t>
        </is>
      </c>
      <c r="F3" s="7"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G3" s="5" t="inlineStr">
        <is>
          <t>4687</t>
        </is>
      </c>
      <c r="H3" s="6" t="inlineStr">
        <is>
          <t>https://www.linkedin.com/company/indegene</t>
        </is>
      </c>
    </row>
    <row r="4">
      <c r="A4" s="2" t="inlineStr">
        <is>
          <t>Wockhardt Limited</t>
        </is>
      </c>
      <c r="B4" s="2" t="inlineStr">
        <is>
          <t>Pharmaceuticals: Major</t>
        </is>
      </c>
      <c r="C4" s="2" t="inlineStr">
        <is>
          <t>33730000000</t>
        </is>
      </c>
      <c r="D4" s="2" t="inlineStr">
        <is>
          <t>Mumbai, India</t>
        </is>
      </c>
      <c r="E4" s="3" t="inlineStr">
        <is>
          <t>https://www.wockhardt.com</t>
        </is>
      </c>
      <c r="F4" s="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is>
      </c>
      <c r="G4" s="2" t="inlineStr">
        <is>
          <t>2564</t>
        </is>
      </c>
      <c r="H4" s="3" t="inlineStr">
        <is>
          <t>https://www.linkedin.com/company/wockhardt</t>
        </is>
      </c>
    </row>
    <row r="5">
      <c r="A5" s="5" t="inlineStr">
        <is>
          <t>Marksans Pharma Limited</t>
        </is>
      </c>
      <c r="B5" s="5" t="inlineStr">
        <is>
          <t>Pharmaceuticals: Major</t>
        </is>
      </c>
      <c r="C5" s="5" t="inlineStr">
        <is>
          <t>29509390000</t>
        </is>
      </c>
      <c r="D5" s="5" t="inlineStr">
        <is>
          <t>Mumbai, India</t>
        </is>
      </c>
      <c r="E5" s="6" t="inlineStr">
        <is>
          <t>https://marksanspharma.com</t>
        </is>
      </c>
      <c r="F5" s="7"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t>
        </is>
      </c>
      <c r="G5" s="5" t="inlineStr">
        <is>
          <t>1840</t>
        </is>
      </c>
      <c r="H5" s="6" t="inlineStr">
        <is>
          <t>https://www.linkedin.com/company/marksans-pharma-ltd---india</t>
        </is>
      </c>
    </row>
    <row r="6">
      <c r="A6" s="2" t="inlineStr">
        <is>
          <t>Dishman Carbogen Amcis Limited</t>
        </is>
      </c>
      <c r="B6" s="2" t="inlineStr">
        <is>
          <t>Pharmaceuticals: Major</t>
        </is>
      </c>
      <c r="C6" s="2" t="inlineStr">
        <is>
          <t>29319000000</t>
        </is>
      </c>
      <c r="D6" s="2" t="inlineStr">
        <is>
          <t>Ahmedabad, India</t>
        </is>
      </c>
      <c r="E6" s="3" t="inlineStr">
        <is>
          <t>https://imdcal.com</t>
        </is>
      </c>
      <c r="F6" s="4"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G6" s="2" t="inlineStr"/>
      <c r="H6" s="3" t="inlineStr">
        <is>
          <t>https://www.linkedin.com/company/dishman</t>
        </is>
      </c>
    </row>
    <row r="7">
      <c r="A7" s="5" t="inlineStr">
        <is>
          <t>Aarti Drugs Limited</t>
        </is>
      </c>
      <c r="B7" s="5" t="inlineStr">
        <is>
          <t>Pharmaceuticals: Major</t>
        </is>
      </c>
      <c r="C7" s="5" t="inlineStr">
        <is>
          <t>26775800000</t>
        </is>
      </c>
      <c r="D7" s="5" t="inlineStr">
        <is>
          <t>Mumbai, India</t>
        </is>
      </c>
      <c r="E7" s="6" t="inlineStr">
        <is>
          <t>https://www.aartidrugs.co.in</t>
        </is>
      </c>
      <c r="F7" s="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t>
        </is>
      </c>
      <c r="G7" s="5" t="inlineStr"/>
      <c r="H7" s="6" t="inlineStr">
        <is>
          <t>https://www.linkedin.com/company/aarti-drugs-limited</t>
        </is>
      </c>
    </row>
    <row r="8">
      <c r="A8" s="2" t="inlineStr">
        <is>
          <t>Viyash Scientific Limited</t>
        </is>
      </c>
      <c r="B8" s="2" t="inlineStr">
        <is>
          <t>Pharmaceuticals: Major</t>
        </is>
      </c>
      <c r="C8" s="2" t="inlineStr">
        <is>
          <t>26437800000</t>
        </is>
      </c>
      <c r="D8" s="2" t="inlineStr">
        <is>
          <t>Hyderabad, India</t>
        </is>
      </c>
      <c r="E8" s="3" t="inlineStr">
        <is>
          <t>https://www.viyash.com</t>
        </is>
      </c>
      <c r="F8" s="4"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G8" s="2" t="inlineStr">
        <is>
          <t>2900</t>
        </is>
      </c>
      <c r="H8" s="3" t="inlineStr">
        <is>
          <t>https://www.linkedin.com/company/viyash-life-sciences-pvt-ltd</t>
        </is>
      </c>
    </row>
    <row r="9">
      <c r="A9" s="5" t="inlineStr">
        <is>
          <t>Anupam Rasayan India Ltd</t>
        </is>
      </c>
      <c r="B9" s="5" t="inlineStr">
        <is>
          <t>Pharmaceuticals: Major</t>
        </is>
      </c>
      <c r="C9" s="5" t="inlineStr">
        <is>
          <t>23654550000</t>
        </is>
      </c>
      <c r="D9" s="5" t="inlineStr">
        <is>
          <t>Surat, India</t>
        </is>
      </c>
      <c r="E9" s="6" t="inlineStr">
        <is>
          <t>https://www.anupamrasayan.com</t>
        </is>
      </c>
      <c r="F9" s="7"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t>
        </is>
      </c>
      <c r="G9" s="5" t="inlineStr"/>
      <c r="H9" s="6" t="inlineStr">
        <is>
          <t>https://www.linkedin.com/company/anupam-rasayan-india-ltd</t>
        </is>
      </c>
    </row>
    <row r="10">
      <c r="A10" s="2" t="inlineStr">
        <is>
          <t>AstraZeneca Pharma India Limited</t>
        </is>
      </c>
      <c r="B10" s="2" t="inlineStr">
        <is>
          <t>Pharmaceuticals: Major</t>
        </is>
      </c>
      <c r="C10" s="2" t="inlineStr">
        <is>
          <t>22755800000</t>
        </is>
      </c>
      <c r="D10" s="2" t="inlineStr">
        <is>
          <t>Bengaluru, India</t>
        </is>
      </c>
      <c r="E10" s="3" t="inlineStr">
        <is>
          <t>https://www.astrazeneca.in</t>
        </is>
      </c>
      <c r="F10" s="4"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t>
        </is>
      </c>
      <c r="G10" s="2" t="inlineStr">
        <is>
          <t>760</t>
        </is>
      </c>
      <c r="H10" s="3" t="inlineStr">
        <is>
          <t>https://www.linkedin.com/company/astrazenecaindia</t>
        </is>
      </c>
    </row>
    <row r="11">
      <c r="A11" s="5" t="inlineStr">
        <is>
          <t>COHANCE LIFESCIENCES LTD</t>
        </is>
      </c>
      <c r="B11" s="5" t="inlineStr">
        <is>
          <t>Pharmaceuticals: Major</t>
        </is>
      </c>
      <c r="C11" s="5" t="inlineStr">
        <is>
          <t>22685500000</t>
        </is>
      </c>
      <c r="D11" s="5" t="inlineStr">
        <is>
          <t>Hyderabad, India</t>
        </is>
      </c>
      <c r="E11" s="6" t="inlineStr">
        <is>
          <t>https://www.cohance.com</t>
        </is>
      </c>
      <c r="F11" s="7"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t>
        </is>
      </c>
      <c r="G11" s="5" t="inlineStr"/>
      <c r="H11" s="6" t="inlineStr">
        <is>
          <t>https://www.linkedin.com/company/cohance-lifesciences</t>
        </is>
      </c>
    </row>
  </sheetData>
  <hyperlinks>
    <hyperlink xmlns:r="http://schemas.openxmlformats.org/officeDocument/2006/relationships" ref="E2" r:id="rId1"/>
    <hyperlink xmlns:r="http://schemas.openxmlformats.org/officeDocument/2006/relationships" ref="H2" r:id="rId2"/>
    <hyperlink xmlns:r="http://schemas.openxmlformats.org/officeDocument/2006/relationships" ref="E3" r:id="rId3"/>
    <hyperlink xmlns:r="http://schemas.openxmlformats.org/officeDocument/2006/relationships" ref="H3" r:id="rId4"/>
    <hyperlink xmlns:r="http://schemas.openxmlformats.org/officeDocument/2006/relationships" ref="E4" r:id="rId5"/>
    <hyperlink xmlns:r="http://schemas.openxmlformats.org/officeDocument/2006/relationships" ref="H4" r:id="rId6"/>
    <hyperlink xmlns:r="http://schemas.openxmlformats.org/officeDocument/2006/relationships" ref="E5" r:id="rId7"/>
    <hyperlink xmlns:r="http://schemas.openxmlformats.org/officeDocument/2006/relationships" ref="H5" r:id="rId8"/>
    <hyperlink xmlns:r="http://schemas.openxmlformats.org/officeDocument/2006/relationships" ref="E6" r:id="rId9"/>
    <hyperlink xmlns:r="http://schemas.openxmlformats.org/officeDocument/2006/relationships" ref="H6" r:id="rId10"/>
    <hyperlink xmlns:r="http://schemas.openxmlformats.org/officeDocument/2006/relationships" ref="E7" r:id="rId11"/>
    <hyperlink xmlns:r="http://schemas.openxmlformats.org/officeDocument/2006/relationships" ref="H7" r:id="rId12"/>
    <hyperlink xmlns:r="http://schemas.openxmlformats.org/officeDocument/2006/relationships" ref="E8" r:id="rId13"/>
    <hyperlink xmlns:r="http://schemas.openxmlformats.org/officeDocument/2006/relationships" ref="H8" r:id="rId14"/>
    <hyperlink xmlns:r="http://schemas.openxmlformats.org/officeDocument/2006/relationships" ref="E9" r:id="rId15"/>
    <hyperlink xmlns:r="http://schemas.openxmlformats.org/officeDocument/2006/relationships" ref="H9" r:id="rId16"/>
    <hyperlink xmlns:r="http://schemas.openxmlformats.org/officeDocument/2006/relationships" ref="E10" r:id="rId17"/>
    <hyperlink xmlns:r="http://schemas.openxmlformats.org/officeDocument/2006/relationships" ref="H10" r:id="rId18"/>
    <hyperlink xmlns:r="http://schemas.openxmlformats.org/officeDocument/2006/relationships" ref="E11" r:id="rId19"/>
    <hyperlink xmlns:r="http://schemas.openxmlformats.org/officeDocument/2006/relationships" ref="H1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Company Name</t>
        </is>
      </c>
      <c r="B1" t="inlineStr">
        <is>
          <t>DM Name</t>
        </is>
      </c>
      <c r="C1" t="inlineStr">
        <is>
          <t>Position</t>
        </is>
      </c>
      <c r="D1" t="inlineStr">
        <is>
          <t>DM LinkedIn</t>
        </is>
      </c>
      <c r="E1" t="inlineStr">
        <is>
          <t>Email</t>
        </is>
      </c>
      <c r="F1" t="inlineStr">
        <is>
          <t>Phone</t>
        </is>
      </c>
    </row>
    <row r="2">
      <c r="A2" t="inlineStr">
        <is>
          <t>Aarti Drugs Limited</t>
        </is>
      </c>
      <c r="B2" t="inlineStr">
        <is>
          <t>Harit Shah</t>
        </is>
      </c>
      <c r="C2" t="inlineStr">
        <is>
          <t>Director, Aarti Drugs Ltd</t>
        </is>
      </c>
      <c r="D2" t="inlineStr">
        <is>
          <t>https://in.linkedin.com/in/harit-shah-003168156</t>
        </is>
      </c>
      <c r="E2" t="inlineStr"/>
      <c r="F2" t="inlineStr"/>
    </row>
    <row r="3">
      <c r="A3" t="inlineStr">
        <is>
          <t>Aarti Drugs Limited</t>
        </is>
      </c>
      <c r="B3" t="inlineStr">
        <is>
          <t>Adhish P. Patil</t>
        </is>
      </c>
      <c r="C3" t="inlineStr">
        <is>
          <t>Chief Financial Officer, Aarti Drugs Ltd</t>
        </is>
      </c>
      <c r="D3" t="inlineStr">
        <is>
          <t>https://in.linkedin.com/in/adhishpatil</t>
        </is>
      </c>
      <c r="E3" t="inlineStr"/>
      <c r="F3" t="inlineStr"/>
    </row>
    <row r="4">
      <c r="A4" t="inlineStr">
        <is>
          <t>Aarti Drugs Limited</t>
        </is>
      </c>
      <c r="B4" t="inlineStr">
        <is>
          <t>Anil Pandya</t>
        </is>
      </c>
      <c r="C4" t="inlineStr">
        <is>
          <t>V P (Fin &amp; Accts), Aarti Drugs Limited</t>
        </is>
      </c>
      <c r="D4" t="inlineStr">
        <is>
          <t>https://in.linkedin.com/in/anil-pandya-88a95552</t>
        </is>
      </c>
      <c r="E4" t="inlineStr"/>
      <c r="F4" t="inlineStr"/>
    </row>
    <row r="5">
      <c r="A5" t="inlineStr">
        <is>
          <t>Aarti Drugs Limited</t>
        </is>
      </c>
      <c r="B5" t="inlineStr">
        <is>
          <t>Rashesh Gogri</t>
        </is>
      </c>
      <c r="C5" t="inlineStr">
        <is>
          <t>Managing Director, Aarti Drugs Limited</t>
        </is>
      </c>
      <c r="D5" t="inlineStr">
        <is>
          <t>https://in.linkedin.com/in/rashesh-gogri-8691152a</t>
        </is>
      </c>
      <c r="E5" t="inlineStr"/>
      <c r="F5" t="inlineStr"/>
    </row>
    <row r="6">
      <c r="A6" t="inlineStr">
        <is>
          <t>Aarti Drugs Limited</t>
        </is>
      </c>
      <c r="B6" t="inlineStr">
        <is>
          <t>Harshit Savla</t>
        </is>
      </c>
      <c r="C6" t="inlineStr">
        <is>
          <t>Joint Managing Director, Aarti Drugs Limited</t>
        </is>
      </c>
      <c r="D6" t="inlineStr">
        <is>
          <t>https://in.linkedin.com/in/harshit-savla-b21659180</t>
        </is>
      </c>
      <c r="E6" t="inlineStr"/>
      <c r="F6" t="inlineStr"/>
    </row>
    <row r="7">
      <c r="A7" t="inlineStr">
        <is>
          <t>Aarti Drugs Limited</t>
        </is>
      </c>
      <c r="B7" t="inlineStr">
        <is>
          <t>Rushikesh Deole</t>
        </is>
      </c>
      <c r="C7" t="inlineStr">
        <is>
          <t>Company Secretary and Compliance Officer, Aarti Drugs Limited</t>
        </is>
      </c>
      <c r="D7" t="inlineStr">
        <is>
          <t>https://in.linkedin.com/in/rushikesh-deole-86a11712b</t>
        </is>
      </c>
      <c r="E7" t="inlineStr"/>
      <c r="F7" t="inlineStr"/>
    </row>
    <row r="8">
      <c r="A8" t="inlineStr">
        <is>
          <t>AKUMS DRUGS AND PHARMA L</t>
        </is>
      </c>
      <c r="B8" t="inlineStr">
        <is>
          <t>Sandeep Jain</t>
        </is>
      </c>
      <c r="C8" t="inlineStr">
        <is>
          <t>Founder and Managing Director at Akums Drugs &amp; Pharmaceuticals Limited</t>
        </is>
      </c>
      <c r="D8" t="inlineStr">
        <is>
          <t>https://in.linkedin.com/in/sandeep-jain-akums</t>
        </is>
      </c>
      <c r="E8" t="inlineStr"/>
      <c r="F8" t="inlineStr"/>
    </row>
    <row r="9">
      <c r="A9" t="inlineStr">
        <is>
          <t>AKUMS DRUGS AND PHARMA L</t>
        </is>
      </c>
      <c r="B9" t="inlineStr">
        <is>
          <t>Sanjeev Jain</t>
        </is>
      </c>
      <c r="C9" t="inlineStr">
        <is>
          <t>Director at Akums Drugs &amp; Pharmaceuticals Limited</t>
        </is>
      </c>
      <c r="D9" t="inlineStr">
        <is>
          <t>https://in.linkedin.com/in/sanjeev-jain-ab257a2a</t>
        </is>
      </c>
      <c r="E9" t="inlineStr"/>
      <c r="F9" t="inlineStr"/>
    </row>
    <row r="10">
      <c r="A10" t="inlineStr">
        <is>
          <t>AKUMS DRUGS AND PHARMA L</t>
        </is>
      </c>
      <c r="B10" t="inlineStr">
        <is>
          <t>Arushi Jain</t>
        </is>
      </c>
      <c r="C10" t="inlineStr">
        <is>
          <t>Director at Akums Drugs | Chartered Accountant</t>
        </is>
      </c>
      <c r="D10" t="inlineStr">
        <is>
          <t>https://in.linkedin.com/in/arushi-jain-15998264</t>
        </is>
      </c>
      <c r="E10" t="inlineStr"/>
      <c r="F10" t="inlineStr"/>
    </row>
    <row r="11">
      <c r="A11" t="inlineStr">
        <is>
          <t>AKUMS DRUGS AND PHARMA L</t>
        </is>
      </c>
      <c r="B11" t="inlineStr">
        <is>
          <t>Manmohan Singh</t>
        </is>
      </c>
      <c r="C11" t="inlineStr">
        <is>
          <t>General Manager - Business Development at Akums Drugs</t>
        </is>
      </c>
      <c r="D11" t="inlineStr">
        <is>
          <t>https://in.linkedin.com/in/manmohan-singh-282671209</t>
        </is>
      </c>
      <c r="E11" t="inlineStr"/>
      <c r="F11" t="inlineStr"/>
    </row>
    <row r="12">
      <c r="A12" t="inlineStr">
        <is>
          <t>AKUMS DRUGS AND PHARMA L</t>
        </is>
      </c>
      <c r="B12" t="inlineStr">
        <is>
          <t>Arvind Srivastava</t>
        </is>
      </c>
      <c r="C12" t="inlineStr">
        <is>
          <t>President - HR at Akums Drugs &amp; Pharmaceuticals Ltd</t>
        </is>
      </c>
      <c r="D12" t="inlineStr">
        <is>
          <t>https://in.linkedin.com/in/arvind-srivastava-26282a1a</t>
        </is>
      </c>
      <c r="E12" t="inlineStr"/>
      <c r="F12" t="inlineStr"/>
    </row>
    <row r="13">
      <c r="A13" t="inlineStr">
        <is>
          <t>AKUMS DRUGS AND PHARMA L</t>
        </is>
      </c>
      <c r="B13" t="inlineStr">
        <is>
          <t>Arun Salhotra</t>
        </is>
      </c>
      <c r="C13" t="inlineStr">
        <is>
          <t>Senior Manager – New Business Development | Business Head – Pure &amp; Cure (Baddi Unit) at Akums Drugs &amp; Pharmaceuticals Ltd</t>
        </is>
      </c>
      <c r="D13" t="inlineStr">
        <is>
          <t>https://in.linkedin.com/in/arun-salhotra-3ab1221a4</t>
        </is>
      </c>
      <c r="E13" t="inlineStr"/>
      <c r="F13" t="inlineStr"/>
    </row>
    <row r="14">
      <c r="A14" t="inlineStr">
        <is>
          <t>AKUMS DRUGS AND PHARMA L</t>
        </is>
      </c>
      <c r="B14" t="inlineStr">
        <is>
          <t>Ashish Jain</t>
        </is>
      </c>
      <c r="C14" t="inlineStr">
        <is>
          <t>AGM, QA / Head of Quality Assurance at Akums Drugs &amp; Pharmaceuticals Ltd</t>
        </is>
      </c>
      <c r="D14" t="inlineStr">
        <is>
          <t>https://in.linkedin.com/in/ashish-jain-ba3600120</t>
        </is>
      </c>
      <c r="E14" t="inlineStr"/>
      <c r="F14" t="inlineStr"/>
    </row>
    <row r="15">
      <c r="A15" t="inlineStr">
        <is>
          <t>Anupam Rasayan India Ltd</t>
        </is>
      </c>
      <c r="B15" t="inlineStr">
        <is>
          <t>Ravi Desai</t>
        </is>
      </c>
      <c r="C15" t="inlineStr">
        <is>
          <t>Head - Sales &amp; Marketing (Head of Global Sales &amp; Marketing)</t>
        </is>
      </c>
      <c r="D15" t="inlineStr">
        <is>
          <t>https://in.linkedin.com/in/ravi-desai-8bbb8740</t>
        </is>
      </c>
      <c r="E15" t="inlineStr"/>
      <c r="F15" t="inlineStr"/>
    </row>
    <row r="16">
      <c r="A16" t="inlineStr">
        <is>
          <t>Anupam Rasayan India Ltd</t>
        </is>
      </c>
      <c r="B16" t="inlineStr">
        <is>
          <t>Dr. Ujval Vaishnav</t>
        </is>
      </c>
      <c r="C16" t="inlineStr">
        <is>
          <t>President - Business Development</t>
        </is>
      </c>
      <c r="D16" t="inlineStr">
        <is>
          <t>https://in.linkedin.com/in/ujvalvaishnav</t>
        </is>
      </c>
      <c r="E16" t="inlineStr"/>
      <c r="F16" t="inlineStr"/>
    </row>
    <row r="17">
      <c r="A17" t="inlineStr">
        <is>
          <t>Anupam Rasayan India Ltd</t>
        </is>
      </c>
      <c r="B17" t="inlineStr">
        <is>
          <t>Anand Desai</t>
        </is>
      </c>
      <c r="C17" t="inlineStr">
        <is>
          <t>Managing Director</t>
        </is>
      </c>
      <c r="D17" t="inlineStr">
        <is>
          <t>https://in.linkedin.com/in/anand-desai-2b78b28</t>
        </is>
      </c>
      <c r="E17" t="inlineStr"/>
      <c r="F17" t="inlineStr"/>
    </row>
    <row r="18">
      <c r="A18" t="inlineStr">
        <is>
          <t>Anupam Rasayan India Ltd</t>
        </is>
      </c>
      <c r="B18" t="inlineStr">
        <is>
          <t>Gopal Agrawal</t>
        </is>
      </c>
      <c r="C18" t="inlineStr">
        <is>
          <t>Chief Executive Officer - Anupam Rasayan India Ltd.</t>
        </is>
      </c>
      <c r="D18" t="inlineStr">
        <is>
          <t>https://in.linkedin.com/in/gopal-agrawal-ba870315</t>
        </is>
      </c>
      <c r="E18" t="inlineStr"/>
      <c r="F18" t="inlineStr"/>
    </row>
    <row r="19">
      <c r="A19" t="inlineStr">
        <is>
          <t>Anupam Rasayan India Ltd</t>
        </is>
      </c>
      <c r="B19" t="inlineStr">
        <is>
          <t>Himanshu Bhatt</t>
        </is>
      </c>
      <c r="C19" t="inlineStr">
        <is>
          <t>President - Projects, Anupam Rasayan India Ltd.</t>
        </is>
      </c>
      <c r="D19" t="inlineStr">
        <is>
          <t>https://in.linkedin.com/in/himanshu-bhatt-839499287</t>
        </is>
      </c>
      <c r="E19" t="inlineStr"/>
      <c r="F19" t="inlineStr"/>
    </row>
    <row r="20">
      <c r="A20" t="inlineStr">
        <is>
          <t>AstraZeneca Pharma India Limited</t>
        </is>
      </c>
      <c r="B20" t="inlineStr">
        <is>
          <t>Praveen Rao Akkinepally</t>
        </is>
      </c>
      <c r="C20" t="inlineStr">
        <is>
          <t>Country President &amp; Managing Director, AstraZeneca India</t>
        </is>
      </c>
      <c r="D20" t="inlineStr">
        <is>
          <t>https://in.linkedin.com/in/praveen-rao-akkinepally-90727245</t>
        </is>
      </c>
      <c r="E20" t="inlineStr"/>
      <c r="F20" t="inlineStr"/>
    </row>
    <row r="21">
      <c r="A21" t="inlineStr">
        <is>
          <t>AstraZeneca Pharma India Limited</t>
        </is>
      </c>
      <c r="B21" t="inlineStr">
        <is>
          <t>Govind Rajith Cheramkalam</t>
        </is>
      </c>
      <c r="C21" t="inlineStr">
        <is>
          <t>Senior Director @ AstraZeneca | GBS India Representative | Global Data Office</t>
        </is>
      </c>
      <c r="D21" t="inlineStr">
        <is>
          <t>https://in.linkedin.com/in/govindrajith</t>
        </is>
      </c>
      <c r="E21" t="inlineStr"/>
      <c r="F21" t="inlineStr"/>
    </row>
    <row r="22">
      <c r="A22" t="inlineStr">
        <is>
          <t>AstraZeneca Pharma India Limited</t>
        </is>
      </c>
      <c r="B22" t="inlineStr">
        <is>
          <t>Tapankumar Shah</t>
        </is>
      </c>
      <c r="C22" t="inlineStr">
        <is>
          <t>Senior Director | AstraZeneca | Clinical Operations | Asia Area Cluster Head</t>
        </is>
      </c>
      <c r="D22" t="inlineStr">
        <is>
          <t>https://in.linkedin.com/in/tapankumar-shah-1a5a1716</t>
        </is>
      </c>
      <c r="E22" t="inlineStr"/>
      <c r="F22" t="inlineStr"/>
    </row>
    <row r="23">
      <c r="A23" t="inlineStr">
        <is>
          <t>AstraZeneca Pharma India Limited</t>
        </is>
      </c>
      <c r="B23" t="inlineStr">
        <is>
          <t>Jagannathan Sekar</t>
        </is>
      </c>
      <c r="C23" t="inlineStr">
        <is>
          <t>HR Services Director - APAC</t>
        </is>
      </c>
      <c r="D23" t="inlineStr">
        <is>
          <t>https://in.linkedin.com/in/jagannathan-sekar-7bab7a3</t>
        </is>
      </c>
      <c r="E23" t="inlineStr"/>
      <c r="F23" t="inlineStr"/>
    </row>
    <row r="24">
      <c r="A24" t="inlineStr">
        <is>
          <t>AstraZeneca Pharma India Limited</t>
        </is>
      </c>
      <c r="B24" t="inlineStr">
        <is>
          <t>Dr. Sanjeev Panchal</t>
        </is>
      </c>
      <c r="C24" t="inlineStr">
        <is>
          <t>Country President and Managing Director, AstraZeneca Pharma India Ltd</t>
        </is>
      </c>
      <c r="D24" t="inlineStr">
        <is>
          <t>https://www.linkedin.com/in/dr-sanjeev-panchal-b282486</t>
        </is>
      </c>
      <c r="E24" t="inlineStr"/>
      <c r="F24" t="inlineStr"/>
    </row>
    <row r="25">
      <c r="A25" t="inlineStr">
        <is>
          <t>COHANCE LIFESCIENCES LTD</t>
        </is>
      </c>
      <c r="B25" t="inlineStr">
        <is>
          <t>Dr. Prasada Raju V</t>
        </is>
      </c>
      <c r="C25" t="inlineStr">
        <is>
          <t>Managing Director &amp; CEO, Cohance Lifesciences</t>
        </is>
      </c>
      <c r="D25" t="inlineStr">
        <is>
          <t>https://in.linkedin.com/in/dr-prasada-raju-v-b5073bb8</t>
        </is>
      </c>
      <c r="E25" t="inlineStr"/>
      <c r="F25" t="inlineStr"/>
    </row>
    <row r="26">
      <c r="A26" t="inlineStr">
        <is>
          <t>COHANCE LIFESCIENCES LTD</t>
        </is>
      </c>
      <c r="B26" t="inlineStr">
        <is>
          <t>Somesh Sharma, PhD, MBA</t>
        </is>
      </c>
      <c r="C26" t="inlineStr">
        <is>
          <t>Chief Operating Officer, Cohance Lifesciences</t>
        </is>
      </c>
      <c r="D26" t="inlineStr">
        <is>
          <t>https://in.linkedin.com/in/sharmasomesh71</t>
        </is>
      </c>
      <c r="E26" t="inlineStr"/>
      <c r="F26" t="inlineStr"/>
    </row>
    <row r="27">
      <c r="A27" t="inlineStr">
        <is>
          <t>COHANCE LIFESCIENCES LTD</t>
        </is>
      </c>
      <c r="B27" t="inlineStr">
        <is>
          <t>Sukhwinder Singh</t>
        </is>
      </c>
      <c r="C27" t="inlineStr">
        <is>
          <t>Vice President - Quality (API &amp; Formulations), Cohance Lifesciences</t>
        </is>
      </c>
      <c r="D27" t="inlineStr">
        <is>
          <t>https://in.linkedin.com/in/sukhwinder-singh-0a512417</t>
        </is>
      </c>
      <c r="E27" t="inlineStr"/>
      <c r="F27" t="inlineStr"/>
    </row>
    <row r="28">
      <c r="A28" t="inlineStr">
        <is>
          <t>COHANCE LIFESCIENCES LTD</t>
        </is>
      </c>
      <c r="B28" t="inlineStr">
        <is>
          <t>MSN Reddy</t>
        </is>
      </c>
      <c r="C28" t="inlineStr">
        <is>
          <t>President of Operations, Cohance Lifesciences</t>
        </is>
      </c>
      <c r="D28" t="inlineStr">
        <is>
          <t>https://in.linkedin.com/in/msnreddy-reddy-423022300</t>
        </is>
      </c>
      <c r="E28" t="inlineStr"/>
      <c r="F28" t="inlineStr"/>
    </row>
    <row r="29">
      <c r="A29" t="inlineStr">
        <is>
          <t>COHANCE LIFESCIENCES LTD</t>
        </is>
      </c>
      <c r="B29" t="inlineStr">
        <is>
          <t>Shravan Reddy J</t>
        </is>
      </c>
      <c r="C29" t="inlineStr">
        <is>
          <t>Chief Operating Officer - CDMO, Cohance Lifesciences</t>
        </is>
      </c>
      <c r="D29" t="inlineStr">
        <is>
          <t>https://in.linkedin.com/in/shravan-reddy-j-6068702b</t>
        </is>
      </c>
      <c r="E29" t="inlineStr"/>
      <c r="F29" t="inlineStr"/>
    </row>
    <row r="30">
      <c r="A30" t="inlineStr">
        <is>
          <t>COHANCE LIFESCIENCES LTD</t>
        </is>
      </c>
      <c r="B30" t="inlineStr">
        <is>
          <t>Vamshi Reddy</t>
        </is>
      </c>
      <c r="C30" t="inlineStr">
        <is>
          <t>Head - Talent Acquisition, Cohance Lifesciences</t>
        </is>
      </c>
      <c r="D30" t="inlineStr">
        <is>
          <t>https://in.linkedin.com/in/vamshireddy01</t>
        </is>
      </c>
      <c r="E30" t="inlineStr"/>
      <c r="F30" t="inlineStr"/>
    </row>
    <row r="31">
      <c r="A31" t="inlineStr">
        <is>
          <t>COHANCE LIFESCIENCES LTD</t>
        </is>
      </c>
      <c r="B31" t="inlineStr">
        <is>
          <t>Gunjan Singh</t>
        </is>
      </c>
      <c r="C31" t="inlineStr">
        <is>
          <t>CEO - API Plus Business, Cohance Lifesciences</t>
        </is>
      </c>
      <c r="D31" t="inlineStr">
        <is>
          <t>https://in.linkedin.com/in/singhgunjan</t>
        </is>
      </c>
      <c r="E31" t="inlineStr"/>
      <c r="F31" t="inlineStr"/>
    </row>
    <row r="32">
      <c r="A32" t="inlineStr">
        <is>
          <t>COHANCE LIFESCIENCES LTD</t>
        </is>
      </c>
      <c r="B32" t="inlineStr">
        <is>
          <t>Dr. Madhusudhan Reddy Ganta</t>
        </is>
      </c>
      <c r="C32" t="inlineStr">
        <is>
          <t>Associate Vice President, API R&amp;D, Cohance Lifesciences</t>
        </is>
      </c>
      <c r="D32" t="inlineStr">
        <is>
          <t>https://in.linkedin.com/in/dr-madhusudhan-reddy-ganta-988b0520</t>
        </is>
      </c>
      <c r="E32" t="inlineStr"/>
      <c r="F32" t="inlineStr"/>
    </row>
    <row r="33">
      <c r="A33" t="inlineStr">
        <is>
          <t>Dishman Carbogen Amcis Limited</t>
        </is>
      </c>
      <c r="B33" t="inlineStr">
        <is>
          <t>Mohit Kumar Pareek</t>
        </is>
      </c>
      <c r="C33" t="inlineStr">
        <is>
          <t>Head of Quality Assurance</t>
        </is>
      </c>
      <c r="D33" t="inlineStr">
        <is>
          <t>https://in.linkedin.com/in/mohit-kumar-pareek-1ba81836</t>
        </is>
      </c>
      <c r="E33" t="inlineStr"/>
      <c r="F33" t="inlineStr"/>
    </row>
    <row r="34">
      <c r="A34" t="inlineStr">
        <is>
          <t>Dishman Carbogen Amcis Limited</t>
        </is>
      </c>
      <c r="B34" t="inlineStr">
        <is>
          <t>Rajkumar Mirajgave</t>
        </is>
      </c>
      <c r="C34" t="inlineStr">
        <is>
          <t>Vice President - Quality</t>
        </is>
      </c>
      <c r="D34" t="inlineStr">
        <is>
          <t>https://in.linkedin.com/in/rajkumar-mirajgave-57618921</t>
        </is>
      </c>
      <c r="E34" t="inlineStr"/>
      <c r="F34" t="inlineStr"/>
    </row>
    <row r="35">
      <c r="A35" t="inlineStr">
        <is>
          <t>Dishman Carbogen Amcis Limited</t>
        </is>
      </c>
      <c r="B35" t="inlineStr">
        <is>
          <t>Manoj Madhav</t>
        </is>
      </c>
      <c r="C35" t="inlineStr">
        <is>
          <t>Head Of Quality Assurance</t>
        </is>
      </c>
      <c r="D35" t="inlineStr">
        <is>
          <t>https://in.linkedin.com/in/manoj-madhav-25074041</t>
        </is>
      </c>
      <c r="E35" t="inlineStr"/>
      <c r="F35" t="inlineStr"/>
    </row>
    <row r="36">
      <c r="A36" t="inlineStr">
        <is>
          <t>Dishman Carbogen Amcis Limited</t>
        </is>
      </c>
      <c r="B36" t="inlineStr">
        <is>
          <t>Mikin Chauhan</t>
        </is>
      </c>
      <c r="C36" t="inlineStr">
        <is>
          <t>Head of Operations / Product Manager</t>
        </is>
      </c>
      <c r="D36" t="inlineStr">
        <is>
          <t>https://in.linkedin.com/in/mikin-chauhan-718b481b5</t>
        </is>
      </c>
      <c r="E36" t="inlineStr"/>
      <c r="F36" t="inlineStr"/>
    </row>
    <row r="37">
      <c r="A37" t="inlineStr">
        <is>
          <t>Dishman Carbogen Amcis Limited</t>
        </is>
      </c>
      <c r="B37" t="inlineStr">
        <is>
          <t>Mayur Jethva</t>
        </is>
      </c>
      <c r="C37" t="inlineStr">
        <is>
          <t>Senior General Manager - Finance &amp; Accounts</t>
        </is>
      </c>
      <c r="D37" t="inlineStr">
        <is>
          <t>https://in.linkedin.com/in/mayur-jethva-227b3b32</t>
        </is>
      </c>
      <c r="E37" t="inlineStr"/>
      <c r="F37" t="inlineStr"/>
    </row>
    <row r="38">
      <c r="A38" t="inlineStr">
        <is>
          <t>INDEGENE LIMITED</t>
        </is>
      </c>
      <c r="B38" t="inlineStr">
        <is>
          <t>Dr. Rajesh Nair</t>
        </is>
      </c>
      <c r="C38" t="inlineStr">
        <is>
          <t>President, Indegene</t>
        </is>
      </c>
      <c r="D38" t="inlineStr">
        <is>
          <t>https://www.linkedin.com/in/dr-rajesh-nair-84455a</t>
        </is>
      </c>
      <c r="E38" t="inlineStr"/>
      <c r="F38" t="inlineStr"/>
    </row>
    <row r="39">
      <c r="A39" t="inlineStr">
        <is>
          <t>INDEGENE LIMITED</t>
        </is>
      </c>
      <c r="B39" t="inlineStr">
        <is>
          <t>Saurabh Jain</t>
        </is>
      </c>
      <c r="C39" t="inlineStr">
        <is>
          <t>Vice President — India Region Head &amp; Head, Global Delivery Centers</t>
        </is>
      </c>
      <c r="D39" t="inlineStr">
        <is>
          <t>https://in.linkedin.com/in/globalcme</t>
        </is>
      </c>
      <c r="E39" t="inlineStr"/>
      <c r="F39" t="inlineStr"/>
    </row>
    <row r="40">
      <c r="A40" t="inlineStr">
        <is>
          <t>INDEGENE LIMITED</t>
        </is>
      </c>
      <c r="B40" t="inlineStr">
        <is>
          <t>Shouvanik Chatterjee</t>
        </is>
      </c>
      <c r="C40" t="inlineStr">
        <is>
          <t>Global Head of Corporate Development &amp; M&amp;A (Senior Vice President, Corporate Development)</t>
        </is>
      </c>
      <c r="D40" t="inlineStr">
        <is>
          <t>https://www.linkedin.com/in/mobilemoney1</t>
        </is>
      </c>
      <c r="E40" t="inlineStr"/>
      <c r="F40" t="inlineStr"/>
    </row>
    <row r="41">
      <c r="A41" t="inlineStr">
        <is>
          <t>INDEGENE LIMITED</t>
        </is>
      </c>
      <c r="B41" t="inlineStr">
        <is>
          <t>Manish Gupta</t>
        </is>
      </c>
      <c r="C41" t="inlineStr">
        <is>
          <t>Co-founder and Chief Executive Officer</t>
        </is>
      </c>
      <c r="D41" t="inlineStr">
        <is>
          <t>https://in.linkedin.com/in/manish-gupta-4b85b2</t>
        </is>
      </c>
      <c r="E41" t="inlineStr"/>
      <c r="F41" t="inlineStr"/>
    </row>
    <row r="42">
      <c r="A42" t="inlineStr">
        <is>
          <t>INDEGENE LIMITED</t>
        </is>
      </c>
      <c r="B42" t="inlineStr">
        <is>
          <t>Amit Gupta</t>
        </is>
      </c>
      <c r="C42" t="inlineStr">
        <is>
          <t>Head - Corporate Strategy &amp; Product</t>
        </is>
      </c>
      <c r="D42" t="inlineStr">
        <is>
          <t>https://in.linkedin.com/in/guptaamitk</t>
        </is>
      </c>
      <c r="E42" t="inlineStr"/>
      <c r="F42" t="inlineStr"/>
    </row>
    <row r="43">
      <c r="A43" t="inlineStr">
        <is>
          <t>INDEGENE LIMITED</t>
        </is>
      </c>
      <c r="B43" t="inlineStr">
        <is>
          <t>Nishanth Rao</t>
        </is>
      </c>
      <c r="C43" t="inlineStr">
        <is>
          <t>Associate Vice President, Enterprise Technology</t>
        </is>
      </c>
      <c r="D43" t="inlineStr">
        <is>
          <t>https://in.linkedin.com/in/nishantharao</t>
        </is>
      </c>
      <c r="E43" t="inlineStr"/>
      <c r="F43" t="inlineStr"/>
    </row>
    <row r="44">
      <c r="A44" t="inlineStr">
        <is>
          <t>Marksans Pharma Limited</t>
        </is>
      </c>
      <c r="B44" t="inlineStr">
        <is>
          <t>Abhinna Sundar Mohanty</t>
        </is>
      </c>
      <c r="C44" t="inlineStr">
        <is>
          <t>Independent Director</t>
        </is>
      </c>
      <c r="D44" t="inlineStr">
        <is>
          <t>https://in.linkedin.com/in/abhinna-sundar-mohanty-1276aa18</t>
        </is>
      </c>
      <c r="E44" t="inlineStr"/>
      <c r="F44" t="inlineStr"/>
    </row>
    <row r="45">
      <c r="A45" t="inlineStr">
        <is>
          <t>Marksans Pharma Limited</t>
        </is>
      </c>
      <c r="B45" t="inlineStr">
        <is>
          <t>Piyush Joshi</t>
        </is>
      </c>
      <c r="C45" t="inlineStr">
        <is>
          <t>Director - Analytical Research</t>
        </is>
      </c>
      <c r="D45" t="inlineStr">
        <is>
          <t>https://in.linkedin.com/in/piyush-joshi-278bb243</t>
        </is>
      </c>
      <c r="E45" t="inlineStr"/>
      <c r="F45" t="inlineStr"/>
    </row>
    <row r="46">
      <c r="A46" t="inlineStr">
        <is>
          <t>Marksans Pharma Limited</t>
        </is>
      </c>
      <c r="B46" t="inlineStr">
        <is>
          <t>Sunil Rane</t>
        </is>
      </c>
      <c r="C46" t="inlineStr">
        <is>
          <t>Director - Quality Control</t>
        </is>
      </c>
      <c r="D46" t="inlineStr">
        <is>
          <t>https://in.linkedin.com/in/sunil-rane-0429b7137</t>
        </is>
      </c>
      <c r="E46" t="inlineStr"/>
      <c r="F46" t="inlineStr"/>
    </row>
    <row r="47">
      <c r="A47" t="inlineStr">
        <is>
          <t>Marksans Pharma Limited</t>
        </is>
      </c>
      <c r="B47" t="inlineStr">
        <is>
          <t>Anurag Pathak</t>
        </is>
      </c>
      <c r="C47" t="inlineStr">
        <is>
          <t>Director</t>
        </is>
      </c>
      <c r="D47" t="inlineStr">
        <is>
          <t>https://in.linkedin.com/in/anurag-pathak-9a4a0b85</t>
        </is>
      </c>
      <c r="E47" t="inlineStr"/>
      <c r="F47" t="inlineStr"/>
    </row>
    <row r="48">
      <c r="A48" t="inlineStr">
        <is>
          <t>Marksans Pharma Limited</t>
        </is>
      </c>
      <c r="B48" t="inlineStr">
        <is>
          <t>Vikas Bhargava</t>
        </is>
      </c>
      <c r="C48" t="inlineStr">
        <is>
          <t>Site Director / Director - Operations (Site Head)</t>
        </is>
      </c>
      <c r="D48" t="inlineStr">
        <is>
          <t>https://in.linkedin.com/in/vikas-bhargava-8393705</t>
        </is>
      </c>
      <c r="E48" t="inlineStr"/>
      <c r="F48" t="inlineStr"/>
    </row>
    <row r="49">
      <c r="A49" t="inlineStr">
        <is>
          <t>Marksans Pharma Limited</t>
        </is>
      </c>
      <c r="B49" t="inlineStr">
        <is>
          <t>Sopan Pisal</t>
        </is>
      </c>
      <c r="C49" t="inlineStr">
        <is>
          <t>Director of Quality Assurance</t>
        </is>
      </c>
      <c r="D49" t="inlineStr">
        <is>
          <t>https://in.linkedin.com/in/sopan-pisal-324b1214</t>
        </is>
      </c>
      <c r="E49" t="inlineStr"/>
      <c r="F49" t="inlineStr"/>
    </row>
    <row r="50">
      <c r="A50" t="inlineStr">
        <is>
          <t>Marksans Pharma Limited</t>
        </is>
      </c>
      <c r="B50" t="inlineStr">
        <is>
          <t>Chaitanya Kulkarni</t>
        </is>
      </c>
      <c r="C50" t="inlineStr">
        <is>
          <t>General Manager (leads global safety/operations)</t>
        </is>
      </c>
      <c r="D50" t="inlineStr">
        <is>
          <t>https://in.linkedin.com/in/chaitanya-kulkarni-1429b810</t>
        </is>
      </c>
      <c r="E50" t="inlineStr"/>
      <c r="F50" t="inlineStr"/>
    </row>
    <row r="51">
      <c r="A51" t="inlineStr">
        <is>
          <t>Marksans Pharma Limited</t>
        </is>
      </c>
      <c r="B51" t="inlineStr">
        <is>
          <t>Rudra Singh</t>
        </is>
      </c>
      <c r="C51" t="inlineStr">
        <is>
          <t>AGM - Technology Transfer (Head of Dept.)</t>
        </is>
      </c>
      <c r="D51" t="inlineStr">
        <is>
          <t>https://in.linkedin.com/in/rudra-singh-40065220</t>
        </is>
      </c>
      <c r="E51" t="inlineStr"/>
      <c r="F51" t="inlineStr"/>
    </row>
    <row r="52">
      <c r="A52" t="inlineStr">
        <is>
          <t>Marksans Pharma Limited</t>
        </is>
      </c>
      <c r="B52" t="inlineStr">
        <is>
          <t>Jitendra Sharma</t>
        </is>
      </c>
      <c r="C52" t="inlineStr">
        <is>
          <t>Strategic CFO (Chief Financial Officer)</t>
        </is>
      </c>
      <c r="D52" t="inlineStr">
        <is>
          <t>https://in.linkedin.com/in/jitendra-sharma-a4480a6</t>
        </is>
      </c>
      <c r="E52" t="inlineStr"/>
      <c r="F52" t="inlineStr"/>
    </row>
    <row r="53">
      <c r="A53" t="inlineStr">
        <is>
          <t>Marksans Pharma Limited</t>
        </is>
      </c>
      <c r="B53" t="inlineStr">
        <is>
          <t>Anjani Kumar</t>
        </is>
      </c>
      <c r="C53" t="inlineStr">
        <is>
          <t>Chief Operating Officer (COO) - Global Operations</t>
        </is>
      </c>
      <c r="D53" t="inlineStr">
        <is>
          <t>https://www.linkedin.com/in/anjani-kumar-04908b11b</t>
        </is>
      </c>
      <c r="E53" t="inlineStr"/>
      <c r="F53" t="inlineStr"/>
    </row>
    <row r="54">
      <c r="A54" t="inlineStr">
        <is>
          <t>Marksans Pharma Limited</t>
        </is>
      </c>
      <c r="B54" t="inlineStr">
        <is>
          <t>Prashanth Kumar</t>
        </is>
      </c>
      <c r="C54" t="inlineStr">
        <is>
          <t>Procurement - Executive</t>
        </is>
      </c>
      <c r="D54" t="inlineStr">
        <is>
          <t>https://in.linkedin.com/in/prashanth-kumar-886138108</t>
        </is>
      </c>
      <c r="E54" t="inlineStr"/>
      <c r="F54" t="inlineStr"/>
    </row>
    <row r="55">
      <c r="A55" t="inlineStr">
        <is>
          <t>Viyash Scientific Limited</t>
        </is>
      </c>
      <c r="B55" t="inlineStr">
        <is>
          <t>Rajkamal Varshney</t>
        </is>
      </c>
      <c r="C55" t="inlineStr">
        <is>
          <t>Senior Vice President - Marketing &amp; Business Development</t>
        </is>
      </c>
      <c r="D55" t="inlineStr">
        <is>
          <t>https://in.linkedin.com/in/rajkamal-varshney-b24590175</t>
        </is>
      </c>
      <c r="E55" t="inlineStr"/>
      <c r="F55" t="inlineStr"/>
    </row>
    <row r="56">
      <c r="A56" t="inlineStr">
        <is>
          <t>Viyash Scientific Limited</t>
        </is>
      </c>
      <c r="B56" t="inlineStr">
        <is>
          <t>Srinivas M</t>
        </is>
      </c>
      <c r="C56" t="inlineStr">
        <is>
          <t>Head - Human Resources (Viyash Life Sciences)</t>
        </is>
      </c>
      <c r="D56" t="inlineStr">
        <is>
          <t>https://in.linkedin.com/in/srinivas-m-973b4817</t>
        </is>
      </c>
      <c r="E56" t="inlineStr"/>
      <c r="F56" t="inlineStr"/>
    </row>
    <row r="57">
      <c r="A57" t="inlineStr">
        <is>
          <t>Viyash Scientific Limited</t>
        </is>
      </c>
      <c r="B57" t="inlineStr">
        <is>
          <t>Dr. V.S.R. Prasad</t>
        </is>
      </c>
      <c r="C57" t="inlineStr">
        <is>
          <t>Head - Tech Transfer &amp; Process Development</t>
        </is>
      </c>
      <c r="D57" t="inlineStr">
        <is>
          <t>https://in.linkedin.com/in/dr-v-s-r-prasad-089bb115</t>
        </is>
      </c>
      <c r="E57" t="inlineStr"/>
      <c r="F57" t="inlineStr"/>
    </row>
    <row r="58">
      <c r="A58" t="inlineStr">
        <is>
          <t>Viyash Scientific Limited</t>
        </is>
      </c>
      <c r="B58" t="inlineStr">
        <is>
          <t>Srinivasarao Attanti</t>
        </is>
      </c>
      <c r="C58" t="inlineStr">
        <is>
          <t>Vice President (Viyash Life Sciences)</t>
        </is>
      </c>
      <c r="D58" t="inlineStr">
        <is>
          <t>https://in.linkedin.com/in/srinivasarao-attanti-b2190a286</t>
        </is>
      </c>
      <c r="E58" t="inlineStr"/>
      <c r="F58" t="inlineStr"/>
    </row>
    <row r="59">
      <c r="A59" t="inlineStr">
        <is>
          <t>Viyash Scientific Limited</t>
        </is>
      </c>
      <c r="B59" t="inlineStr">
        <is>
          <t>Jagannatha Reddy</t>
        </is>
      </c>
      <c r="C59" t="inlineStr">
        <is>
          <t>Senior Vice President - Head SCM, Viyash Life Sciences Pvt Ltd</t>
        </is>
      </c>
      <c r="D59" t="inlineStr">
        <is>
          <t>https://in.linkedin.com/in/jagannatha-reddy-0907aa187</t>
        </is>
      </c>
      <c r="E59" t="inlineStr"/>
      <c r="F59" t="inlineStr"/>
    </row>
    <row r="60">
      <c r="A60" t="inlineStr">
        <is>
          <t>Viyash Scientific Limited</t>
        </is>
      </c>
      <c r="B60" t="inlineStr">
        <is>
          <t>Ramakant Singani</t>
        </is>
      </c>
      <c r="C60" t="inlineStr">
        <is>
          <t>CFO / Chief Financial Officer, Viyash Life Sciences / Viyash Scientific Ltd</t>
        </is>
      </c>
      <c r="D60" t="inlineStr">
        <is>
          <t>https://in.linkedin.com/in/ramakant-singani-3951ab6</t>
        </is>
      </c>
      <c r="E60" t="inlineStr"/>
      <c r="F60" t="inlineStr"/>
    </row>
    <row r="61">
      <c r="A61" t="inlineStr">
        <is>
          <t>Viyash Scientific Limited</t>
        </is>
      </c>
      <c r="B61" t="inlineStr">
        <is>
          <t>Dr. Pramod Kumar</t>
        </is>
      </c>
      <c r="C61" t="inlineStr">
        <is>
          <t>Head API R&amp;D, Viyash Life Sciences</t>
        </is>
      </c>
      <c r="D61" t="inlineStr">
        <is>
          <t>https://in.linkedin.com/in/dr-pramod-kumar-36a14015</t>
        </is>
      </c>
      <c r="E61" t="inlineStr"/>
      <c r="F61" t="inlineStr"/>
    </row>
    <row r="62">
      <c r="A62" t="inlineStr">
        <is>
          <t>Viyash Scientific Limited</t>
        </is>
      </c>
      <c r="B62" t="inlineStr">
        <is>
          <t>Madan Gupta Dasari</t>
        </is>
      </c>
      <c r="C62" t="inlineStr">
        <is>
          <t>Deputy General Manager, Viyash Life Science (API)</t>
        </is>
      </c>
      <c r="D62" t="inlineStr">
        <is>
          <t>https://in.linkedin.com/in/madan-gupta-dasari-70391390</t>
        </is>
      </c>
      <c r="E62" t="inlineStr"/>
      <c r="F62" t="inlineStr"/>
    </row>
    <row r="63">
      <c r="A63" t="inlineStr">
        <is>
          <t>Viyash Scientific Limited</t>
        </is>
      </c>
      <c r="B63" t="inlineStr">
        <is>
          <t>Sandip Shah</t>
        </is>
      </c>
      <c r="C63" t="inlineStr">
        <is>
          <t>Site Head, Viyash Life Sciences Pvt Ltd</t>
        </is>
      </c>
      <c r="D63" t="inlineStr">
        <is>
          <t>https://in.linkedin.com/in/sandip-shah-464663236</t>
        </is>
      </c>
      <c r="E63" t="inlineStr"/>
      <c r="F63" t="inlineStr"/>
    </row>
    <row r="64">
      <c r="A64" t="inlineStr">
        <is>
          <t>Wockhardt Limited</t>
        </is>
      </c>
      <c r="B64" t="inlineStr">
        <is>
          <t>Dr Murtaza Khorakiwala</t>
        </is>
      </c>
      <c r="C64" t="inlineStr">
        <is>
          <t>Managing Director, Wockhardt Ltd.</t>
        </is>
      </c>
      <c r="D64" t="inlineStr">
        <is>
          <t>https://in.linkedin.com/in/murtazakhorakiwala</t>
        </is>
      </c>
      <c r="E64" t="inlineStr"/>
      <c r="F64" t="inlineStr"/>
    </row>
    <row r="65">
      <c r="A65" t="inlineStr">
        <is>
          <t>Wockhardt Limited</t>
        </is>
      </c>
      <c r="B65" t="inlineStr">
        <is>
          <t>Prthwijit Kundu</t>
        </is>
      </c>
      <c r="C65" t="inlineStr">
        <is>
          <t>Chief Medical Officer, NCE NDD, Wockhardt Ltd.</t>
        </is>
      </c>
      <c r="D65" t="inlineStr">
        <is>
          <t>https://in.linkedin.com/in/prthwijit-kundu-17132419</t>
        </is>
      </c>
      <c r="E65" t="inlineStr"/>
      <c r="F65" t="inlineStr"/>
    </row>
    <row r="66">
      <c r="A66" t="inlineStr">
        <is>
          <t>Wockhardt Limited</t>
        </is>
      </c>
      <c r="B66" t="inlineStr">
        <is>
          <t>Dr Parag R Rindani</t>
        </is>
      </c>
      <c r="C66" t="inlineStr">
        <is>
          <t>Group CEO, Wockhardt Hospitals</t>
        </is>
      </c>
      <c r="D66" t="inlineStr">
        <is>
          <t>https://in.linkedin.com/in/dr-parag-r-rindani-3733524</t>
        </is>
      </c>
      <c r="E66" t="inlineStr"/>
      <c r="F66" t="inlineStr"/>
    </row>
    <row r="67">
      <c r="A67" t="inlineStr">
        <is>
          <t>Wockhardt Limited</t>
        </is>
      </c>
      <c r="B67" t="inlineStr">
        <is>
          <t>Annapurna Das</t>
        </is>
      </c>
      <c r="C67" t="inlineStr">
        <is>
          <t>President – India Business &amp; NCE Emerging Markets, Wockhardt Ltd.</t>
        </is>
      </c>
      <c r="D67" t="inlineStr">
        <is>
          <t>https://in.linkedin.com/in/annapurna-das-10aa394</t>
        </is>
      </c>
      <c r="E67" t="inlineStr"/>
      <c r="F67" t="inlineStr"/>
    </row>
    <row r="68">
      <c r="A68" t="inlineStr">
        <is>
          <t>Wockhardt Limited</t>
        </is>
      </c>
      <c r="B68" t="inlineStr">
        <is>
          <t>SURESH V.</t>
        </is>
      </c>
      <c r="C68" t="inlineStr">
        <is>
          <t>President - Finance</t>
        </is>
      </c>
      <c r="D68" t="inlineStr">
        <is>
          <t>https://in.linkedin.com/in/suresh-v-68661176</t>
        </is>
      </c>
      <c r="E68" t="inlineStr"/>
      <c r="F68" t="inlineStr"/>
    </row>
    <row r="69">
      <c r="A69" t="inlineStr">
        <is>
          <t>Wockhardt Limited</t>
        </is>
      </c>
      <c r="B69" t="inlineStr">
        <is>
          <t>SURESH SHENOY</t>
        </is>
      </c>
      <c r="C69" t="inlineStr">
        <is>
          <t>Senior Vice President</t>
        </is>
      </c>
      <c r="D69" t="inlineStr">
        <is>
          <t>https://in.linkedin.com/in/suresh-shenoy-661aa722</t>
        </is>
      </c>
      <c r="E69" t="inlineStr"/>
      <c r="F69"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F97"/>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30" customWidth="1" min="5" max="5"/>
    <col width="18" customWidth="1" min="6" max="6"/>
  </cols>
  <sheetData>
    <row r="1" ht="28" customHeight="1">
      <c r="A1" s="8" t="inlineStr">
        <is>
          <t xml:space="preserve">  ▸ Aarti Drugs Limited  (6 contacts)</t>
        </is>
      </c>
      <c r="B1" s="9" t="n"/>
      <c r="C1" s="9" t="n"/>
      <c r="D1" s="9" t="n"/>
      <c r="E1" s="9" t="n"/>
      <c r="F1" s="9" t="n"/>
    </row>
    <row r="2" hidden="1" outlineLevel="1">
      <c r="A2" s="10" t="inlineStr">
        <is>
          <t>#</t>
        </is>
      </c>
      <c r="B2" s="10" t="inlineStr">
        <is>
          <t>Name</t>
        </is>
      </c>
      <c r="C2" s="10" t="inlineStr">
        <is>
          <t>Position</t>
        </is>
      </c>
      <c r="D2" s="10" t="inlineStr">
        <is>
          <t>LinkedIn (Person)</t>
        </is>
      </c>
      <c r="E2" s="10" t="inlineStr">
        <is>
          <t>Email</t>
        </is>
      </c>
      <c r="F2" s="10" t="inlineStr">
        <is>
          <t>Location</t>
        </is>
      </c>
    </row>
    <row r="3" hidden="1" outlineLevel="1">
      <c r="A3" s="11" t="n">
        <v>1</v>
      </c>
      <c r="B3" s="12" t="inlineStr">
        <is>
          <t>Harit Shah</t>
        </is>
      </c>
      <c r="C3" s="12" t="inlineStr">
        <is>
          <t>Director, Aarti Drugs Ltd</t>
        </is>
      </c>
      <c r="D3" s="13">
        <f>HYPERLINK("https://in.linkedin.com/in/harit-shah-003168156", "Harit Shah")</f>
        <v/>
      </c>
      <c r="E3" s="12" t="inlineStr">
        <is>
          <t>—</t>
        </is>
      </c>
      <c r="F3" s="11" t="inlineStr">
        <is>
          <t>Mumbai, India</t>
        </is>
      </c>
    </row>
    <row r="4" hidden="1" outlineLevel="1">
      <c r="A4" s="14" t="n">
        <v>2</v>
      </c>
      <c r="B4" s="15" t="inlineStr">
        <is>
          <t>Adhish P. Patil</t>
        </is>
      </c>
      <c r="C4" s="15" t="inlineStr">
        <is>
          <t>Chief Financial Officer, Aarti Drugs Ltd</t>
        </is>
      </c>
      <c r="D4" s="16">
        <f>HYPERLINK("https://in.linkedin.com/in/adhishpatil", "Adhish P. Patil")</f>
        <v/>
      </c>
      <c r="E4" s="15" t="inlineStr">
        <is>
          <t>—</t>
        </is>
      </c>
      <c r="F4" s="14" t="inlineStr">
        <is>
          <t>Mumbai, India</t>
        </is>
      </c>
    </row>
    <row r="5" hidden="1" outlineLevel="1">
      <c r="A5" s="11" t="n">
        <v>3</v>
      </c>
      <c r="B5" s="12" t="inlineStr">
        <is>
          <t>Anil Pandya</t>
        </is>
      </c>
      <c r="C5" s="12" t="inlineStr">
        <is>
          <t>V P (Fin &amp; Accts), Aarti Drugs Limited</t>
        </is>
      </c>
      <c r="D5" s="13">
        <f>HYPERLINK("https://in.linkedin.com/in/anil-pandya-88a95552", "Anil Pandya")</f>
        <v/>
      </c>
      <c r="E5" s="12" t="inlineStr">
        <is>
          <t>—</t>
        </is>
      </c>
      <c r="F5" s="11" t="inlineStr">
        <is>
          <t>Mumbai, India</t>
        </is>
      </c>
    </row>
    <row r="6" hidden="1" outlineLevel="1">
      <c r="A6" s="14" t="n">
        <v>4</v>
      </c>
      <c r="B6" s="15" t="inlineStr">
        <is>
          <t>Rashesh Gogri</t>
        </is>
      </c>
      <c r="C6" s="15" t="inlineStr">
        <is>
          <t>Managing Director, Aarti Drugs Limited</t>
        </is>
      </c>
      <c r="D6" s="16">
        <f>HYPERLINK("https://in.linkedin.com/in/rashesh-gogri-8691152a", "Rashesh Gogri")</f>
        <v/>
      </c>
      <c r="E6" s="15" t="inlineStr">
        <is>
          <t>—</t>
        </is>
      </c>
      <c r="F6" s="14" t="inlineStr">
        <is>
          <t>Mumbai, India</t>
        </is>
      </c>
    </row>
    <row r="7" hidden="1" outlineLevel="1">
      <c r="A7" s="11" t="n">
        <v>5</v>
      </c>
      <c r="B7" s="12" t="inlineStr">
        <is>
          <t>Harshit Savla</t>
        </is>
      </c>
      <c r="C7" s="12" t="inlineStr">
        <is>
          <t>Joint Managing Director, Aarti Drugs Limited</t>
        </is>
      </c>
      <c r="D7" s="13">
        <f>HYPERLINK("https://in.linkedin.com/in/harshit-savla-b21659180", "Harshit Savla")</f>
        <v/>
      </c>
      <c r="E7" s="12" t="inlineStr">
        <is>
          <t>—</t>
        </is>
      </c>
      <c r="F7" s="11" t="inlineStr">
        <is>
          <t>Mumbai, India</t>
        </is>
      </c>
    </row>
    <row r="8" hidden="1" outlineLevel="1">
      <c r="A8" s="14" t="n">
        <v>6</v>
      </c>
      <c r="B8" s="15" t="inlineStr">
        <is>
          <t>Rushikesh Deole</t>
        </is>
      </c>
      <c r="C8" s="15" t="inlineStr">
        <is>
          <t>Company Secretary and Compliance Officer, Aarti Drugs Limited</t>
        </is>
      </c>
      <c r="D8" s="16">
        <f>HYPERLINK("https://in.linkedin.com/in/rushikesh-deole-86a11712b", "Rushikesh Deole")</f>
        <v/>
      </c>
      <c r="E8" s="15" t="inlineStr">
        <is>
          <t>—</t>
        </is>
      </c>
      <c r="F8" s="14" t="inlineStr">
        <is>
          <t>Mumbai, India</t>
        </is>
      </c>
    </row>
    <row r="10" ht="28" customHeight="1">
      <c r="A10" s="8" t="inlineStr">
        <is>
          <t xml:space="preserve">  ▸ AKUMS DRUGS AND PHARMA L  (7 contacts)</t>
        </is>
      </c>
      <c r="B10" s="9" t="n"/>
      <c r="C10" s="9" t="n"/>
      <c r="D10" s="9" t="n"/>
      <c r="E10" s="9" t="n"/>
      <c r="F10" s="9" t="n"/>
    </row>
    <row r="11" hidden="1" outlineLevel="1">
      <c r="A11" s="10" t="inlineStr">
        <is>
          <t>#</t>
        </is>
      </c>
      <c r="B11" s="10" t="inlineStr">
        <is>
          <t>Name</t>
        </is>
      </c>
      <c r="C11" s="10" t="inlineStr">
        <is>
          <t>Position</t>
        </is>
      </c>
      <c r="D11" s="10" t="inlineStr">
        <is>
          <t>LinkedIn (Person)</t>
        </is>
      </c>
      <c r="E11" s="10" t="inlineStr">
        <is>
          <t>Email</t>
        </is>
      </c>
      <c r="F11" s="10" t="inlineStr">
        <is>
          <t>Location</t>
        </is>
      </c>
    </row>
    <row r="12" hidden="1" outlineLevel="1">
      <c r="A12" s="11" t="n">
        <v>1</v>
      </c>
      <c r="B12" s="12" t="inlineStr">
        <is>
          <t>Sandeep Jain</t>
        </is>
      </c>
      <c r="C12" s="12" t="inlineStr">
        <is>
          <t>Founder and Managing Director at Akums Drugs &amp; Pharmaceuticals Limited</t>
        </is>
      </c>
      <c r="D12" s="13">
        <f>HYPERLINK("https://in.linkedin.com/in/sandeep-jain-akums", "Sandeep Jain")</f>
        <v/>
      </c>
      <c r="E12" s="12" t="inlineStr">
        <is>
          <t>—</t>
        </is>
      </c>
      <c r="F12" s="11" t="inlineStr">
        <is>
          <t>Delhi, India</t>
        </is>
      </c>
    </row>
    <row r="13" hidden="1" outlineLevel="1">
      <c r="A13" s="14" t="n">
        <v>2</v>
      </c>
      <c r="B13" s="15" t="inlineStr">
        <is>
          <t>Sanjeev Jain</t>
        </is>
      </c>
      <c r="C13" s="15" t="inlineStr">
        <is>
          <t>Director at Akums Drugs &amp; Pharmaceuticals Limited</t>
        </is>
      </c>
      <c r="D13" s="16">
        <f>HYPERLINK("https://in.linkedin.com/in/sanjeev-jain-ab257a2a", "Sanjeev Jain")</f>
        <v/>
      </c>
      <c r="E13" s="15" t="inlineStr">
        <is>
          <t>—</t>
        </is>
      </c>
      <c r="F13" s="14" t="inlineStr">
        <is>
          <t>Delhi, India</t>
        </is>
      </c>
    </row>
    <row r="14" hidden="1" outlineLevel="1">
      <c r="A14" s="11" t="n">
        <v>3</v>
      </c>
      <c r="B14" s="12" t="inlineStr">
        <is>
          <t>Arushi Jain</t>
        </is>
      </c>
      <c r="C14" s="12" t="inlineStr">
        <is>
          <t>Director at Akums Drugs | Chartered Accountant</t>
        </is>
      </c>
      <c r="D14" s="13">
        <f>HYPERLINK("https://in.linkedin.com/in/arushi-jain-15998264", "Arushi Jain")</f>
        <v/>
      </c>
      <c r="E14" s="12" t="inlineStr">
        <is>
          <t>—</t>
        </is>
      </c>
      <c r="F14" s="11" t="inlineStr">
        <is>
          <t>Delhi, India</t>
        </is>
      </c>
    </row>
    <row r="15" hidden="1" outlineLevel="1">
      <c r="A15" s="14" t="n">
        <v>4</v>
      </c>
      <c r="B15" s="15" t="inlineStr">
        <is>
          <t>Manmohan Singh</t>
        </is>
      </c>
      <c r="C15" s="15" t="inlineStr">
        <is>
          <t>General Manager - Business Development at Akums Drugs</t>
        </is>
      </c>
      <c r="D15" s="16">
        <f>HYPERLINK("https://in.linkedin.com/in/manmohan-singh-282671209", "Manmohan Singh")</f>
        <v/>
      </c>
      <c r="E15" s="15" t="inlineStr">
        <is>
          <t>—</t>
        </is>
      </c>
      <c r="F15" s="14" t="inlineStr">
        <is>
          <t>Delhi, India</t>
        </is>
      </c>
    </row>
    <row r="16" hidden="1" outlineLevel="1">
      <c r="A16" s="11" t="n">
        <v>5</v>
      </c>
      <c r="B16" s="12" t="inlineStr">
        <is>
          <t>Arvind Srivastava</t>
        </is>
      </c>
      <c r="C16" s="12" t="inlineStr">
        <is>
          <t>President - HR at Akums Drugs &amp; Pharmaceuticals Ltd</t>
        </is>
      </c>
      <c r="D16" s="13">
        <f>HYPERLINK("https://in.linkedin.com/in/arvind-srivastava-26282a1a", "Arvind Srivastava")</f>
        <v/>
      </c>
      <c r="E16" s="12" t="inlineStr">
        <is>
          <t>—</t>
        </is>
      </c>
      <c r="F16" s="11" t="inlineStr">
        <is>
          <t>Delhi, India</t>
        </is>
      </c>
    </row>
    <row r="17" hidden="1" outlineLevel="1">
      <c r="A17" s="14" t="n">
        <v>6</v>
      </c>
      <c r="B17" s="15" t="inlineStr">
        <is>
          <t>Arun Salhotra</t>
        </is>
      </c>
      <c r="C17" s="15" t="inlineStr">
        <is>
          <t>Senior Manager – New Business Development | Business Head – Pure &amp; Cure (Baddi Unit) at Akums Drugs &amp; Pharmaceuticals Ltd</t>
        </is>
      </c>
      <c r="D17" s="16">
        <f>HYPERLINK("https://in.linkedin.com/in/arun-salhotra-3ab1221a4", "Arun Salhotra")</f>
        <v/>
      </c>
      <c r="E17" s="15" t="inlineStr">
        <is>
          <t>—</t>
        </is>
      </c>
      <c r="F17" s="14" t="inlineStr">
        <is>
          <t>Delhi, India</t>
        </is>
      </c>
    </row>
    <row r="18" hidden="1" outlineLevel="1">
      <c r="A18" s="11" t="n">
        <v>7</v>
      </c>
      <c r="B18" s="12" t="inlineStr">
        <is>
          <t>Ashish Jain</t>
        </is>
      </c>
      <c r="C18" s="12" t="inlineStr">
        <is>
          <t>AGM, QA / Head of Quality Assurance at Akums Drugs &amp; Pharmaceuticals Ltd</t>
        </is>
      </c>
      <c r="D18" s="13">
        <f>HYPERLINK("https://in.linkedin.com/in/ashish-jain-ba3600120", "Ashish Jain")</f>
        <v/>
      </c>
      <c r="E18" s="12" t="inlineStr">
        <is>
          <t>—</t>
        </is>
      </c>
      <c r="F18" s="11" t="inlineStr">
        <is>
          <t>Delhi, India</t>
        </is>
      </c>
    </row>
    <row r="20" ht="28" customHeight="1">
      <c r="A20" s="8" t="inlineStr">
        <is>
          <t xml:space="preserve">  ▸ Anupam Rasayan India Ltd  (5 contacts)</t>
        </is>
      </c>
      <c r="B20" s="9" t="n"/>
      <c r="C20" s="9" t="n"/>
      <c r="D20" s="9" t="n"/>
      <c r="E20" s="9" t="n"/>
      <c r="F20" s="9" t="n"/>
    </row>
    <row r="21" hidden="1" outlineLevel="1">
      <c r="A21" s="10" t="inlineStr">
        <is>
          <t>#</t>
        </is>
      </c>
      <c r="B21" s="10" t="inlineStr">
        <is>
          <t>Name</t>
        </is>
      </c>
      <c r="C21" s="10" t="inlineStr">
        <is>
          <t>Position</t>
        </is>
      </c>
      <c r="D21" s="10" t="inlineStr">
        <is>
          <t>LinkedIn (Person)</t>
        </is>
      </c>
      <c r="E21" s="10" t="inlineStr">
        <is>
          <t>Email</t>
        </is>
      </c>
      <c r="F21" s="10" t="inlineStr">
        <is>
          <t>Location</t>
        </is>
      </c>
    </row>
    <row r="22" hidden="1" outlineLevel="1">
      <c r="A22" s="11" t="n">
        <v>1</v>
      </c>
      <c r="B22" s="12" t="inlineStr">
        <is>
          <t>Ravi Desai</t>
        </is>
      </c>
      <c r="C22" s="12" t="inlineStr">
        <is>
          <t>Head - Sales &amp; Marketing (Head of Global Sales &amp; Marketing)</t>
        </is>
      </c>
      <c r="D22" s="13">
        <f>HYPERLINK("https://in.linkedin.com/in/ravi-desai-8bbb8740", "Ravi Desai")</f>
        <v/>
      </c>
      <c r="E22" s="12" t="inlineStr">
        <is>
          <t>—</t>
        </is>
      </c>
      <c r="F22" s="11" t="inlineStr">
        <is>
          <t>Surat, India</t>
        </is>
      </c>
    </row>
    <row r="23" hidden="1" outlineLevel="1">
      <c r="A23" s="14" t="n">
        <v>2</v>
      </c>
      <c r="B23" s="15" t="inlineStr">
        <is>
          <t>Dr. Ujval Vaishnav</t>
        </is>
      </c>
      <c r="C23" s="15" t="inlineStr">
        <is>
          <t>President - Business Development</t>
        </is>
      </c>
      <c r="D23" s="16">
        <f>HYPERLINK("https://in.linkedin.com/in/ujvalvaishnav", "Dr. Ujval Vaishnav")</f>
        <v/>
      </c>
      <c r="E23" s="15" t="inlineStr">
        <is>
          <t>—</t>
        </is>
      </c>
      <c r="F23" s="14" t="inlineStr">
        <is>
          <t>Surat, India</t>
        </is>
      </c>
    </row>
    <row r="24" hidden="1" outlineLevel="1">
      <c r="A24" s="11" t="n">
        <v>3</v>
      </c>
      <c r="B24" s="12" t="inlineStr">
        <is>
          <t>Anand Desai</t>
        </is>
      </c>
      <c r="C24" s="12" t="inlineStr">
        <is>
          <t>Managing Director</t>
        </is>
      </c>
      <c r="D24" s="13">
        <f>HYPERLINK("https://in.linkedin.com/in/anand-desai-2b78b28", "Anand Desai")</f>
        <v/>
      </c>
      <c r="E24" s="12" t="inlineStr">
        <is>
          <t>—</t>
        </is>
      </c>
      <c r="F24" s="11" t="inlineStr">
        <is>
          <t>Surat, India</t>
        </is>
      </c>
    </row>
    <row r="25" hidden="1" outlineLevel="1">
      <c r="A25" s="14" t="n">
        <v>4</v>
      </c>
      <c r="B25" s="15" t="inlineStr">
        <is>
          <t>Gopal Agrawal</t>
        </is>
      </c>
      <c r="C25" s="15" t="inlineStr">
        <is>
          <t>Chief Executive Officer - Anupam Rasayan India Ltd.</t>
        </is>
      </c>
      <c r="D25" s="16">
        <f>HYPERLINK("https://in.linkedin.com/in/gopal-agrawal-ba870315", "Gopal Agrawal")</f>
        <v/>
      </c>
      <c r="E25" s="15" t="inlineStr">
        <is>
          <t>—</t>
        </is>
      </c>
      <c r="F25" s="14" t="inlineStr">
        <is>
          <t>Surat, India</t>
        </is>
      </c>
    </row>
    <row r="26" hidden="1" outlineLevel="1">
      <c r="A26" s="11" t="n">
        <v>5</v>
      </c>
      <c r="B26" s="12" t="inlineStr">
        <is>
          <t>Himanshu Bhatt</t>
        </is>
      </c>
      <c r="C26" s="12" t="inlineStr">
        <is>
          <t>President - Projects, Anupam Rasayan India Ltd.</t>
        </is>
      </c>
      <c r="D26" s="13">
        <f>HYPERLINK("https://in.linkedin.com/in/himanshu-bhatt-839499287", "Himanshu Bhatt")</f>
        <v/>
      </c>
      <c r="E26" s="12" t="inlineStr">
        <is>
          <t>—</t>
        </is>
      </c>
      <c r="F26" s="11" t="inlineStr">
        <is>
          <t>Surat, India</t>
        </is>
      </c>
    </row>
    <row r="28" ht="28" customHeight="1">
      <c r="A28" s="8" t="inlineStr">
        <is>
          <t xml:space="preserve">  ▸ AstraZeneca Pharma India Limited  (5 contacts)</t>
        </is>
      </c>
      <c r="B28" s="9" t="n"/>
      <c r="C28" s="9" t="n"/>
      <c r="D28" s="9" t="n"/>
      <c r="E28" s="9" t="n"/>
      <c r="F28" s="9" t="n"/>
    </row>
    <row r="29" hidden="1" outlineLevel="1">
      <c r="A29" s="10" t="inlineStr">
        <is>
          <t>#</t>
        </is>
      </c>
      <c r="B29" s="10" t="inlineStr">
        <is>
          <t>Name</t>
        </is>
      </c>
      <c r="C29" s="10" t="inlineStr">
        <is>
          <t>Position</t>
        </is>
      </c>
      <c r="D29" s="10" t="inlineStr">
        <is>
          <t>LinkedIn (Person)</t>
        </is>
      </c>
      <c r="E29" s="10" t="inlineStr">
        <is>
          <t>Email</t>
        </is>
      </c>
      <c r="F29" s="10" t="inlineStr">
        <is>
          <t>Location</t>
        </is>
      </c>
    </row>
    <row r="30" hidden="1" outlineLevel="1">
      <c r="A30" s="11" t="n">
        <v>1</v>
      </c>
      <c r="B30" s="12" t="inlineStr">
        <is>
          <t>Praveen Rao Akkinepally</t>
        </is>
      </c>
      <c r="C30" s="12" t="inlineStr">
        <is>
          <t>Country President &amp; Managing Director, AstraZeneca India</t>
        </is>
      </c>
      <c r="D30" s="13">
        <f>HYPERLINK("https://in.linkedin.com/in/praveen-rao-akkinepally-90727245", "Praveen Rao Akkinepally")</f>
        <v/>
      </c>
      <c r="E30" s="12" t="inlineStr">
        <is>
          <t>—</t>
        </is>
      </c>
      <c r="F30" s="11" t="inlineStr">
        <is>
          <t>Bengaluru, India</t>
        </is>
      </c>
    </row>
    <row r="31" hidden="1" outlineLevel="1">
      <c r="A31" s="14" t="n">
        <v>2</v>
      </c>
      <c r="B31" s="15" t="inlineStr">
        <is>
          <t>Govind Rajith Cheramkalam</t>
        </is>
      </c>
      <c r="C31" s="15" t="inlineStr">
        <is>
          <t>Senior Director @ AstraZeneca | GBS India Representative | Global Data Office</t>
        </is>
      </c>
      <c r="D31" s="16">
        <f>HYPERLINK("https://in.linkedin.com/in/govindrajith", "Govind Rajith Cheramkalam")</f>
        <v/>
      </c>
      <c r="E31" s="15" t="inlineStr">
        <is>
          <t>—</t>
        </is>
      </c>
      <c r="F31" s="14" t="inlineStr">
        <is>
          <t>Bengaluru, India</t>
        </is>
      </c>
    </row>
    <row r="32" hidden="1" outlineLevel="1">
      <c r="A32" s="11" t="n">
        <v>3</v>
      </c>
      <c r="B32" s="12" t="inlineStr">
        <is>
          <t>Tapankumar Shah</t>
        </is>
      </c>
      <c r="C32" s="12" t="inlineStr">
        <is>
          <t>Senior Director | AstraZeneca | Clinical Operations | Asia Area Cluster Head</t>
        </is>
      </c>
      <c r="D32" s="13">
        <f>HYPERLINK("https://in.linkedin.com/in/tapankumar-shah-1a5a1716", "Tapankumar Shah")</f>
        <v/>
      </c>
      <c r="E32" s="12" t="inlineStr">
        <is>
          <t>—</t>
        </is>
      </c>
      <c r="F32" s="11" t="inlineStr">
        <is>
          <t>Bengaluru, India</t>
        </is>
      </c>
    </row>
    <row r="33" hidden="1" outlineLevel="1">
      <c r="A33" s="14" t="n">
        <v>4</v>
      </c>
      <c r="B33" s="15" t="inlineStr">
        <is>
          <t>Jagannathan Sekar</t>
        </is>
      </c>
      <c r="C33" s="15" t="inlineStr">
        <is>
          <t>HR Services Director - APAC</t>
        </is>
      </c>
      <c r="D33" s="16">
        <f>HYPERLINK("https://in.linkedin.com/in/jagannathan-sekar-7bab7a3", "Jagannathan Sekar")</f>
        <v/>
      </c>
      <c r="E33" s="15" t="inlineStr">
        <is>
          <t>—</t>
        </is>
      </c>
      <c r="F33" s="14" t="inlineStr">
        <is>
          <t>Bengaluru, India</t>
        </is>
      </c>
    </row>
    <row r="34" hidden="1" outlineLevel="1">
      <c r="A34" s="11" t="n">
        <v>5</v>
      </c>
      <c r="B34" s="12" t="inlineStr">
        <is>
          <t>Dr. Sanjeev Panchal</t>
        </is>
      </c>
      <c r="C34" s="12" t="inlineStr">
        <is>
          <t>Country President and Managing Director, AstraZeneca Pharma India Ltd</t>
        </is>
      </c>
      <c r="D34" s="13">
        <f>HYPERLINK("https://www.linkedin.com/in/dr-sanjeev-panchal-b282486", "Dr. Sanjeev Panchal")</f>
        <v/>
      </c>
      <c r="E34" s="12" t="inlineStr">
        <is>
          <t>—</t>
        </is>
      </c>
      <c r="F34" s="11" t="inlineStr">
        <is>
          <t>Bengaluru, India</t>
        </is>
      </c>
    </row>
    <row r="36" ht="28" customHeight="1">
      <c r="A36" s="8" t="inlineStr">
        <is>
          <t xml:space="preserve">  ▸ COHANCE LIFESCIENCES LTD  (8 contacts)</t>
        </is>
      </c>
      <c r="B36" s="9" t="n"/>
      <c r="C36" s="9" t="n"/>
      <c r="D36" s="9" t="n"/>
      <c r="E36" s="9" t="n"/>
      <c r="F36" s="9" t="n"/>
    </row>
    <row r="37" hidden="1" outlineLevel="1">
      <c r="A37" s="10" t="inlineStr">
        <is>
          <t>#</t>
        </is>
      </c>
      <c r="B37" s="10" t="inlineStr">
        <is>
          <t>Name</t>
        </is>
      </c>
      <c r="C37" s="10" t="inlineStr">
        <is>
          <t>Position</t>
        </is>
      </c>
      <c r="D37" s="10" t="inlineStr">
        <is>
          <t>LinkedIn (Person)</t>
        </is>
      </c>
      <c r="E37" s="10" t="inlineStr">
        <is>
          <t>Email</t>
        </is>
      </c>
      <c r="F37" s="10" t="inlineStr">
        <is>
          <t>Location</t>
        </is>
      </c>
    </row>
    <row r="38" hidden="1" outlineLevel="1">
      <c r="A38" s="11" t="n">
        <v>1</v>
      </c>
      <c r="B38" s="12" t="inlineStr">
        <is>
          <t>Dr. Prasada Raju V</t>
        </is>
      </c>
      <c r="C38" s="12" t="inlineStr">
        <is>
          <t>Managing Director &amp; CEO, Cohance Lifesciences</t>
        </is>
      </c>
      <c r="D38" s="13">
        <f>HYPERLINK("https://in.linkedin.com/in/dr-prasada-raju-v-b5073bb8", "Dr. Prasada Raju V")</f>
        <v/>
      </c>
      <c r="E38" s="12" t="inlineStr">
        <is>
          <t>—</t>
        </is>
      </c>
      <c r="F38" s="11" t="inlineStr">
        <is>
          <t>Hyderabad, India</t>
        </is>
      </c>
    </row>
    <row r="39" hidden="1" outlineLevel="1">
      <c r="A39" s="14" t="n">
        <v>2</v>
      </c>
      <c r="B39" s="15" t="inlineStr">
        <is>
          <t>Somesh Sharma, PhD, MBA</t>
        </is>
      </c>
      <c r="C39" s="15" t="inlineStr">
        <is>
          <t>Chief Operating Officer, Cohance Lifesciences</t>
        </is>
      </c>
      <c r="D39" s="16">
        <f>HYPERLINK("https://in.linkedin.com/in/sharmasomesh71", "Somesh Sharma, PhD, MBA")</f>
        <v/>
      </c>
      <c r="E39" s="15" t="inlineStr">
        <is>
          <t>—</t>
        </is>
      </c>
      <c r="F39" s="14" t="inlineStr">
        <is>
          <t>Hyderabad, India</t>
        </is>
      </c>
    </row>
    <row r="40" hidden="1" outlineLevel="1">
      <c r="A40" s="11" t="n">
        <v>3</v>
      </c>
      <c r="B40" s="12" t="inlineStr">
        <is>
          <t>Sukhwinder Singh</t>
        </is>
      </c>
      <c r="C40" s="12" t="inlineStr">
        <is>
          <t>Vice President - Quality (API &amp; Formulations), Cohance Lifesciences</t>
        </is>
      </c>
      <c r="D40" s="13">
        <f>HYPERLINK("https://in.linkedin.com/in/sukhwinder-singh-0a512417", "Sukhwinder Singh")</f>
        <v/>
      </c>
      <c r="E40" s="12" t="inlineStr">
        <is>
          <t>—</t>
        </is>
      </c>
      <c r="F40" s="11" t="inlineStr">
        <is>
          <t>Hyderabad, India</t>
        </is>
      </c>
    </row>
    <row r="41" hidden="1" outlineLevel="1">
      <c r="A41" s="14" t="n">
        <v>4</v>
      </c>
      <c r="B41" s="15" t="inlineStr">
        <is>
          <t>MSN Reddy</t>
        </is>
      </c>
      <c r="C41" s="15" t="inlineStr">
        <is>
          <t>President of Operations, Cohance Lifesciences</t>
        </is>
      </c>
      <c r="D41" s="16">
        <f>HYPERLINK("https://in.linkedin.com/in/msnreddy-reddy-423022300", "MSN Reddy")</f>
        <v/>
      </c>
      <c r="E41" s="15" t="inlineStr">
        <is>
          <t>—</t>
        </is>
      </c>
      <c r="F41" s="14" t="inlineStr">
        <is>
          <t>Hyderabad, India</t>
        </is>
      </c>
    </row>
    <row r="42" hidden="1" outlineLevel="1">
      <c r="A42" s="11" t="n">
        <v>5</v>
      </c>
      <c r="B42" s="12" t="inlineStr">
        <is>
          <t>Shravan Reddy J</t>
        </is>
      </c>
      <c r="C42" s="12" t="inlineStr">
        <is>
          <t>Chief Operating Officer - CDMO, Cohance Lifesciences</t>
        </is>
      </c>
      <c r="D42" s="13">
        <f>HYPERLINK("https://in.linkedin.com/in/shravan-reddy-j-6068702b", "Shravan Reddy J")</f>
        <v/>
      </c>
      <c r="E42" s="12" t="inlineStr">
        <is>
          <t>—</t>
        </is>
      </c>
      <c r="F42" s="11" t="inlineStr">
        <is>
          <t>Hyderabad, India</t>
        </is>
      </c>
    </row>
    <row r="43" hidden="1" outlineLevel="1">
      <c r="A43" s="14" t="n">
        <v>6</v>
      </c>
      <c r="B43" s="15" t="inlineStr">
        <is>
          <t>Vamshi Reddy</t>
        </is>
      </c>
      <c r="C43" s="15" t="inlineStr">
        <is>
          <t>Head - Talent Acquisition, Cohance Lifesciences</t>
        </is>
      </c>
      <c r="D43" s="16">
        <f>HYPERLINK("https://in.linkedin.com/in/vamshireddy01", "Vamshi Reddy")</f>
        <v/>
      </c>
      <c r="E43" s="15" t="inlineStr">
        <is>
          <t>—</t>
        </is>
      </c>
      <c r="F43" s="14" t="inlineStr">
        <is>
          <t>Hyderabad, India</t>
        </is>
      </c>
    </row>
    <row r="44" hidden="1" outlineLevel="1">
      <c r="A44" s="11" t="n">
        <v>7</v>
      </c>
      <c r="B44" s="12" t="inlineStr">
        <is>
          <t>Gunjan Singh</t>
        </is>
      </c>
      <c r="C44" s="12" t="inlineStr">
        <is>
          <t>CEO - API Plus Business, Cohance Lifesciences</t>
        </is>
      </c>
      <c r="D44" s="13">
        <f>HYPERLINK("https://in.linkedin.com/in/singhgunjan", "Gunjan Singh")</f>
        <v/>
      </c>
      <c r="E44" s="12" t="inlineStr">
        <is>
          <t>—</t>
        </is>
      </c>
      <c r="F44" s="11" t="inlineStr">
        <is>
          <t>Hyderabad, India</t>
        </is>
      </c>
    </row>
    <row r="45" hidden="1" outlineLevel="1">
      <c r="A45" s="14" t="n">
        <v>8</v>
      </c>
      <c r="B45" s="15" t="inlineStr">
        <is>
          <t>Dr. Madhusudhan Reddy Ganta</t>
        </is>
      </c>
      <c r="C45" s="15" t="inlineStr">
        <is>
          <t>Associate Vice President, API R&amp;D, Cohance Lifesciences</t>
        </is>
      </c>
      <c r="D45" s="16">
        <f>HYPERLINK("https://in.linkedin.com/in/dr-madhusudhan-reddy-ganta-988b0520", "Dr. Madhusudhan Reddy Ganta")</f>
        <v/>
      </c>
      <c r="E45" s="15" t="inlineStr">
        <is>
          <t>—</t>
        </is>
      </c>
      <c r="F45" s="14" t="inlineStr">
        <is>
          <t>Hyderabad, India</t>
        </is>
      </c>
    </row>
    <row r="47" ht="28" customHeight="1">
      <c r="A47" s="8" t="inlineStr">
        <is>
          <t xml:space="preserve">  ▸ Dishman Carbogen Amcis Limited  (5 contacts)</t>
        </is>
      </c>
      <c r="B47" s="9" t="n"/>
      <c r="C47" s="9" t="n"/>
      <c r="D47" s="9" t="n"/>
      <c r="E47" s="9" t="n"/>
      <c r="F47" s="9" t="n"/>
    </row>
    <row r="48" hidden="1" outlineLevel="1">
      <c r="A48" s="10" t="inlineStr">
        <is>
          <t>#</t>
        </is>
      </c>
      <c r="B48" s="10" t="inlineStr">
        <is>
          <t>Name</t>
        </is>
      </c>
      <c r="C48" s="10" t="inlineStr">
        <is>
          <t>Position</t>
        </is>
      </c>
      <c r="D48" s="10" t="inlineStr">
        <is>
          <t>LinkedIn (Person)</t>
        </is>
      </c>
      <c r="E48" s="10" t="inlineStr">
        <is>
          <t>Email</t>
        </is>
      </c>
      <c r="F48" s="10" t="inlineStr">
        <is>
          <t>Location</t>
        </is>
      </c>
    </row>
    <row r="49" hidden="1" outlineLevel="1">
      <c r="A49" s="11" t="n">
        <v>1</v>
      </c>
      <c r="B49" s="12" t="inlineStr">
        <is>
          <t>Mohit Kumar Pareek</t>
        </is>
      </c>
      <c r="C49" s="12" t="inlineStr">
        <is>
          <t>Head of Quality Assurance</t>
        </is>
      </c>
      <c r="D49" s="13">
        <f>HYPERLINK("https://in.linkedin.com/in/mohit-kumar-pareek-1ba81836", "Mohit Kumar Pareek")</f>
        <v/>
      </c>
      <c r="E49" s="12" t="inlineStr">
        <is>
          <t>—</t>
        </is>
      </c>
      <c r="F49" s="11" t="inlineStr">
        <is>
          <t>Ahmedabad, India</t>
        </is>
      </c>
    </row>
    <row r="50" hidden="1" outlineLevel="1">
      <c r="A50" s="14" t="n">
        <v>2</v>
      </c>
      <c r="B50" s="15" t="inlineStr">
        <is>
          <t>Rajkumar Mirajgave</t>
        </is>
      </c>
      <c r="C50" s="15" t="inlineStr">
        <is>
          <t>Vice President - Quality</t>
        </is>
      </c>
      <c r="D50" s="16">
        <f>HYPERLINK("https://in.linkedin.com/in/rajkumar-mirajgave-57618921", "Rajkumar Mirajgave")</f>
        <v/>
      </c>
      <c r="E50" s="15" t="inlineStr">
        <is>
          <t>—</t>
        </is>
      </c>
      <c r="F50" s="14" t="inlineStr">
        <is>
          <t>Ahmedabad, India</t>
        </is>
      </c>
    </row>
    <row r="51" hidden="1" outlineLevel="1">
      <c r="A51" s="11" t="n">
        <v>3</v>
      </c>
      <c r="B51" s="12" t="inlineStr">
        <is>
          <t>Manoj Madhav</t>
        </is>
      </c>
      <c r="C51" s="12" t="inlineStr">
        <is>
          <t>Head Of Quality Assurance</t>
        </is>
      </c>
      <c r="D51" s="13">
        <f>HYPERLINK("https://in.linkedin.com/in/manoj-madhav-25074041", "Manoj Madhav")</f>
        <v/>
      </c>
      <c r="E51" s="12" t="inlineStr">
        <is>
          <t>—</t>
        </is>
      </c>
      <c r="F51" s="11" t="inlineStr">
        <is>
          <t>Ahmedabad, India</t>
        </is>
      </c>
    </row>
    <row r="52" hidden="1" outlineLevel="1">
      <c r="A52" s="14" t="n">
        <v>4</v>
      </c>
      <c r="B52" s="15" t="inlineStr">
        <is>
          <t>Mikin Chauhan</t>
        </is>
      </c>
      <c r="C52" s="15" t="inlineStr">
        <is>
          <t>Head of Operations / Product Manager</t>
        </is>
      </c>
      <c r="D52" s="16">
        <f>HYPERLINK("https://in.linkedin.com/in/mikin-chauhan-718b481b5", "Mikin Chauhan")</f>
        <v/>
      </c>
      <c r="E52" s="15" t="inlineStr">
        <is>
          <t>—</t>
        </is>
      </c>
      <c r="F52" s="14" t="inlineStr">
        <is>
          <t>Ahmedabad, India</t>
        </is>
      </c>
    </row>
    <row r="53" hidden="1" outlineLevel="1">
      <c r="A53" s="11" t="n">
        <v>5</v>
      </c>
      <c r="B53" s="12" t="inlineStr">
        <is>
          <t>Mayur Jethva</t>
        </is>
      </c>
      <c r="C53" s="12" t="inlineStr">
        <is>
          <t>Senior General Manager - Finance &amp; Accounts</t>
        </is>
      </c>
      <c r="D53" s="13">
        <f>HYPERLINK("https://in.linkedin.com/in/mayur-jethva-227b3b32", "Mayur Jethva")</f>
        <v/>
      </c>
      <c r="E53" s="12" t="inlineStr">
        <is>
          <t>—</t>
        </is>
      </c>
      <c r="F53" s="11" t="inlineStr">
        <is>
          <t>Ahmedabad, India</t>
        </is>
      </c>
    </row>
    <row r="55" ht="28" customHeight="1">
      <c r="A55" s="8" t="inlineStr">
        <is>
          <t xml:space="preserve">  ▸ INDEGENE LIMITED  (6 contacts)</t>
        </is>
      </c>
      <c r="B55" s="9" t="n"/>
      <c r="C55" s="9" t="n"/>
      <c r="D55" s="9" t="n"/>
      <c r="E55" s="9" t="n"/>
      <c r="F55" s="9" t="n"/>
    </row>
    <row r="56" hidden="1" outlineLevel="1">
      <c r="A56" s="10" t="inlineStr">
        <is>
          <t>#</t>
        </is>
      </c>
      <c r="B56" s="10" t="inlineStr">
        <is>
          <t>Name</t>
        </is>
      </c>
      <c r="C56" s="10" t="inlineStr">
        <is>
          <t>Position</t>
        </is>
      </c>
      <c r="D56" s="10" t="inlineStr">
        <is>
          <t>LinkedIn (Person)</t>
        </is>
      </c>
      <c r="E56" s="10" t="inlineStr">
        <is>
          <t>Email</t>
        </is>
      </c>
      <c r="F56" s="10" t="inlineStr">
        <is>
          <t>Location</t>
        </is>
      </c>
    </row>
    <row r="57" hidden="1" outlineLevel="1">
      <c r="A57" s="11" t="n">
        <v>1</v>
      </c>
      <c r="B57" s="12" t="inlineStr">
        <is>
          <t>Dr. Rajesh Nair</t>
        </is>
      </c>
      <c r="C57" s="12" t="inlineStr">
        <is>
          <t>President, Indegene</t>
        </is>
      </c>
      <c r="D57" s="13">
        <f>HYPERLINK("https://www.linkedin.com/in/dr-rajesh-nair-84455a", "Dr. Rajesh Nair")</f>
        <v/>
      </c>
      <c r="E57" s="12" t="inlineStr">
        <is>
          <t>—</t>
        </is>
      </c>
      <c r="F57" s="11" t="inlineStr">
        <is>
          <t>Bengaluru, India</t>
        </is>
      </c>
    </row>
    <row r="58" hidden="1" outlineLevel="1">
      <c r="A58" s="14" t="n">
        <v>2</v>
      </c>
      <c r="B58" s="15" t="inlineStr">
        <is>
          <t>Saurabh Jain</t>
        </is>
      </c>
      <c r="C58" s="15" t="inlineStr">
        <is>
          <t>Vice President — India Region Head &amp; Head, Global Delivery Centers</t>
        </is>
      </c>
      <c r="D58" s="16">
        <f>HYPERLINK("https://in.linkedin.com/in/globalcme", "Saurabh Jain")</f>
        <v/>
      </c>
      <c r="E58" s="15" t="inlineStr">
        <is>
          <t>—</t>
        </is>
      </c>
      <c r="F58" s="14" t="inlineStr">
        <is>
          <t>Bengaluru, India</t>
        </is>
      </c>
    </row>
    <row r="59" hidden="1" outlineLevel="1">
      <c r="A59" s="11" t="n">
        <v>3</v>
      </c>
      <c r="B59" s="12" t="inlineStr">
        <is>
          <t>Shouvanik Chatterjee</t>
        </is>
      </c>
      <c r="C59" s="12" t="inlineStr">
        <is>
          <t>Global Head of Corporate Development &amp; M&amp;A (Senior Vice President, Corporate Development)</t>
        </is>
      </c>
      <c r="D59" s="13">
        <f>HYPERLINK("https://www.linkedin.com/in/mobilemoney1", "Shouvanik Chatterjee")</f>
        <v/>
      </c>
      <c r="E59" s="12" t="inlineStr">
        <is>
          <t>—</t>
        </is>
      </c>
      <c r="F59" s="11" t="inlineStr">
        <is>
          <t>Bengaluru, India</t>
        </is>
      </c>
    </row>
    <row r="60" hidden="1" outlineLevel="1">
      <c r="A60" s="14" t="n">
        <v>4</v>
      </c>
      <c r="B60" s="15" t="inlineStr">
        <is>
          <t>Manish Gupta</t>
        </is>
      </c>
      <c r="C60" s="15" t="inlineStr">
        <is>
          <t>Co-founder and Chief Executive Officer</t>
        </is>
      </c>
      <c r="D60" s="16">
        <f>HYPERLINK("https://in.linkedin.com/in/manish-gupta-4b85b2", "Manish Gupta")</f>
        <v/>
      </c>
      <c r="E60" s="15" t="inlineStr">
        <is>
          <t>—</t>
        </is>
      </c>
      <c r="F60" s="14" t="inlineStr">
        <is>
          <t>Bengaluru, India</t>
        </is>
      </c>
    </row>
    <row r="61" hidden="1" outlineLevel="1">
      <c r="A61" s="11" t="n">
        <v>5</v>
      </c>
      <c r="B61" s="12" t="inlineStr">
        <is>
          <t>Amit Gupta</t>
        </is>
      </c>
      <c r="C61" s="12" t="inlineStr">
        <is>
          <t>Head - Corporate Strategy &amp; Product</t>
        </is>
      </c>
      <c r="D61" s="13">
        <f>HYPERLINK("https://in.linkedin.com/in/guptaamitk", "Amit Gupta")</f>
        <v/>
      </c>
      <c r="E61" s="12" t="inlineStr">
        <is>
          <t>—</t>
        </is>
      </c>
      <c r="F61" s="11" t="inlineStr">
        <is>
          <t>Bengaluru, India</t>
        </is>
      </c>
    </row>
    <row r="62" hidden="1" outlineLevel="1">
      <c r="A62" s="14" t="n">
        <v>6</v>
      </c>
      <c r="B62" s="15" t="inlineStr">
        <is>
          <t>Nishanth Rao</t>
        </is>
      </c>
      <c r="C62" s="15" t="inlineStr">
        <is>
          <t>Associate Vice President, Enterprise Technology</t>
        </is>
      </c>
      <c r="D62" s="16">
        <f>HYPERLINK("https://in.linkedin.com/in/nishantharao", "Nishanth Rao")</f>
        <v/>
      </c>
      <c r="E62" s="15" t="inlineStr">
        <is>
          <t>—</t>
        </is>
      </c>
      <c r="F62" s="14" t="inlineStr">
        <is>
          <t>Bengaluru, India</t>
        </is>
      </c>
    </row>
    <row r="64" ht="28" customHeight="1">
      <c r="A64" s="8" t="inlineStr">
        <is>
          <t xml:space="preserve">  ▸ Marksans Pharma Limited  (11 contacts)</t>
        </is>
      </c>
      <c r="B64" s="9" t="n"/>
      <c r="C64" s="9" t="n"/>
      <c r="D64" s="9" t="n"/>
      <c r="E64" s="9" t="n"/>
      <c r="F64" s="9" t="n"/>
    </row>
    <row r="65" hidden="1" outlineLevel="1">
      <c r="A65" s="10" t="inlineStr">
        <is>
          <t>#</t>
        </is>
      </c>
      <c r="B65" s="10" t="inlineStr">
        <is>
          <t>Name</t>
        </is>
      </c>
      <c r="C65" s="10" t="inlineStr">
        <is>
          <t>Position</t>
        </is>
      </c>
      <c r="D65" s="10" t="inlineStr">
        <is>
          <t>LinkedIn (Person)</t>
        </is>
      </c>
      <c r="E65" s="10" t="inlineStr">
        <is>
          <t>Email</t>
        </is>
      </c>
      <c r="F65" s="10" t="inlineStr">
        <is>
          <t>Location</t>
        </is>
      </c>
    </row>
    <row r="66" hidden="1" outlineLevel="1">
      <c r="A66" s="11" t="n">
        <v>1</v>
      </c>
      <c r="B66" s="12" t="inlineStr">
        <is>
          <t>Abhinna Sundar Mohanty</t>
        </is>
      </c>
      <c r="C66" s="12" t="inlineStr">
        <is>
          <t>Independent Director</t>
        </is>
      </c>
      <c r="D66" s="13">
        <f>HYPERLINK("https://in.linkedin.com/in/abhinna-sundar-mohanty-1276aa18", "Abhinna Sundar Mohanty")</f>
        <v/>
      </c>
      <c r="E66" s="12" t="inlineStr">
        <is>
          <t>—</t>
        </is>
      </c>
      <c r="F66" s="11" t="inlineStr">
        <is>
          <t>Mumbai, India</t>
        </is>
      </c>
    </row>
    <row r="67" hidden="1" outlineLevel="1">
      <c r="A67" s="14" t="n">
        <v>2</v>
      </c>
      <c r="B67" s="15" t="inlineStr">
        <is>
          <t>Piyush Joshi</t>
        </is>
      </c>
      <c r="C67" s="15" t="inlineStr">
        <is>
          <t>Director - Analytical Research</t>
        </is>
      </c>
      <c r="D67" s="16">
        <f>HYPERLINK("https://in.linkedin.com/in/piyush-joshi-278bb243", "Piyush Joshi")</f>
        <v/>
      </c>
      <c r="E67" s="15" t="inlineStr">
        <is>
          <t>—</t>
        </is>
      </c>
      <c r="F67" s="14" t="inlineStr">
        <is>
          <t>Mumbai, India</t>
        </is>
      </c>
    </row>
    <row r="68" hidden="1" outlineLevel="1">
      <c r="A68" s="11" t="n">
        <v>3</v>
      </c>
      <c r="B68" s="12" t="inlineStr">
        <is>
          <t>Sunil Rane</t>
        </is>
      </c>
      <c r="C68" s="12" t="inlineStr">
        <is>
          <t>Director - Quality Control</t>
        </is>
      </c>
      <c r="D68" s="13">
        <f>HYPERLINK("https://in.linkedin.com/in/sunil-rane-0429b7137", "Sunil Rane")</f>
        <v/>
      </c>
      <c r="E68" s="12" t="inlineStr">
        <is>
          <t>—</t>
        </is>
      </c>
      <c r="F68" s="11" t="inlineStr">
        <is>
          <t>Mumbai, India</t>
        </is>
      </c>
    </row>
    <row r="69" hidden="1" outlineLevel="1">
      <c r="A69" s="14" t="n">
        <v>4</v>
      </c>
      <c r="B69" s="15" t="inlineStr">
        <is>
          <t>Anurag Pathak</t>
        </is>
      </c>
      <c r="C69" s="15" t="inlineStr">
        <is>
          <t>Director</t>
        </is>
      </c>
      <c r="D69" s="16">
        <f>HYPERLINK("https://in.linkedin.com/in/anurag-pathak-9a4a0b85", "Anurag Pathak")</f>
        <v/>
      </c>
      <c r="E69" s="15" t="inlineStr">
        <is>
          <t>—</t>
        </is>
      </c>
      <c r="F69" s="14" t="inlineStr">
        <is>
          <t>Mumbai, India</t>
        </is>
      </c>
    </row>
    <row r="70" hidden="1" outlineLevel="1">
      <c r="A70" s="11" t="n">
        <v>5</v>
      </c>
      <c r="B70" s="12" t="inlineStr">
        <is>
          <t>Vikas Bhargava</t>
        </is>
      </c>
      <c r="C70" s="12" t="inlineStr">
        <is>
          <t>Site Director / Director - Operations (Site Head)</t>
        </is>
      </c>
      <c r="D70" s="13">
        <f>HYPERLINK("https://in.linkedin.com/in/vikas-bhargava-8393705", "Vikas Bhargava")</f>
        <v/>
      </c>
      <c r="E70" s="12" t="inlineStr">
        <is>
          <t>—</t>
        </is>
      </c>
      <c r="F70" s="11" t="inlineStr">
        <is>
          <t>Mumbai, India</t>
        </is>
      </c>
    </row>
    <row r="71" hidden="1" outlineLevel="1">
      <c r="A71" s="14" t="n">
        <v>6</v>
      </c>
      <c r="B71" s="15" t="inlineStr">
        <is>
          <t>Sopan Pisal</t>
        </is>
      </c>
      <c r="C71" s="15" t="inlineStr">
        <is>
          <t>Director of Quality Assurance</t>
        </is>
      </c>
      <c r="D71" s="16">
        <f>HYPERLINK("https://in.linkedin.com/in/sopan-pisal-324b1214", "Sopan Pisal")</f>
        <v/>
      </c>
      <c r="E71" s="15" t="inlineStr">
        <is>
          <t>—</t>
        </is>
      </c>
      <c r="F71" s="14" t="inlineStr">
        <is>
          <t>Mumbai, India</t>
        </is>
      </c>
    </row>
    <row r="72" hidden="1" outlineLevel="1">
      <c r="A72" s="11" t="n">
        <v>7</v>
      </c>
      <c r="B72" s="12" t="inlineStr">
        <is>
          <t>Chaitanya Kulkarni</t>
        </is>
      </c>
      <c r="C72" s="12" t="inlineStr">
        <is>
          <t>General Manager (leads global safety/operations)</t>
        </is>
      </c>
      <c r="D72" s="13">
        <f>HYPERLINK("https://in.linkedin.com/in/chaitanya-kulkarni-1429b810", "Chaitanya Kulkarni")</f>
        <v/>
      </c>
      <c r="E72" s="12" t="inlineStr">
        <is>
          <t>—</t>
        </is>
      </c>
      <c r="F72" s="11" t="inlineStr">
        <is>
          <t>Mumbai, India</t>
        </is>
      </c>
    </row>
    <row r="73" hidden="1" outlineLevel="1">
      <c r="A73" s="14" t="n">
        <v>8</v>
      </c>
      <c r="B73" s="15" t="inlineStr">
        <is>
          <t>Rudra Singh</t>
        </is>
      </c>
      <c r="C73" s="15" t="inlineStr">
        <is>
          <t>AGM - Technology Transfer (Head of Dept.)</t>
        </is>
      </c>
      <c r="D73" s="16">
        <f>HYPERLINK("https://in.linkedin.com/in/rudra-singh-40065220", "Rudra Singh")</f>
        <v/>
      </c>
      <c r="E73" s="15" t="inlineStr">
        <is>
          <t>—</t>
        </is>
      </c>
      <c r="F73" s="14" t="inlineStr">
        <is>
          <t>Mumbai, India</t>
        </is>
      </c>
    </row>
    <row r="74" hidden="1" outlineLevel="1">
      <c r="A74" s="11" t="n">
        <v>9</v>
      </c>
      <c r="B74" s="12" t="inlineStr">
        <is>
          <t>Jitendra Sharma</t>
        </is>
      </c>
      <c r="C74" s="12" t="inlineStr">
        <is>
          <t>Strategic CFO (Chief Financial Officer)</t>
        </is>
      </c>
      <c r="D74" s="13">
        <f>HYPERLINK("https://in.linkedin.com/in/jitendra-sharma-a4480a6", "Jitendra Sharma")</f>
        <v/>
      </c>
      <c r="E74" s="12" t="inlineStr">
        <is>
          <t>—</t>
        </is>
      </c>
      <c r="F74" s="11" t="inlineStr">
        <is>
          <t>Mumbai, India</t>
        </is>
      </c>
    </row>
    <row r="75" hidden="1" outlineLevel="1">
      <c r="A75" s="14" t="n">
        <v>10</v>
      </c>
      <c r="B75" s="15" t="inlineStr">
        <is>
          <t>Anjani Kumar</t>
        </is>
      </c>
      <c r="C75" s="15" t="inlineStr">
        <is>
          <t>Chief Operating Officer (COO) - Global Operations</t>
        </is>
      </c>
      <c r="D75" s="16">
        <f>HYPERLINK("https://www.linkedin.com/in/anjani-kumar-04908b11b", "Anjani Kumar")</f>
        <v/>
      </c>
      <c r="E75" s="15" t="inlineStr">
        <is>
          <t>—</t>
        </is>
      </c>
      <c r="F75" s="14" t="inlineStr">
        <is>
          <t>Mumbai, India</t>
        </is>
      </c>
    </row>
    <row r="76" hidden="1" outlineLevel="1">
      <c r="A76" s="11" t="n">
        <v>11</v>
      </c>
      <c r="B76" s="12" t="inlineStr">
        <is>
          <t>Prashanth Kumar</t>
        </is>
      </c>
      <c r="C76" s="12" t="inlineStr">
        <is>
          <t>Procurement - Executive</t>
        </is>
      </c>
      <c r="D76" s="13">
        <f>HYPERLINK("https://in.linkedin.com/in/prashanth-kumar-886138108", "Prashanth Kumar")</f>
        <v/>
      </c>
      <c r="E76" s="12" t="inlineStr">
        <is>
          <t>—</t>
        </is>
      </c>
      <c r="F76" s="11" t="inlineStr">
        <is>
          <t>Mumbai, India</t>
        </is>
      </c>
    </row>
    <row r="78" ht="28" customHeight="1">
      <c r="A78" s="8" t="inlineStr">
        <is>
          <t xml:space="preserve">  ▸ Viyash Scientific Limited  (9 contacts)</t>
        </is>
      </c>
      <c r="B78" s="9" t="n"/>
      <c r="C78" s="9" t="n"/>
      <c r="D78" s="9" t="n"/>
      <c r="E78" s="9" t="n"/>
      <c r="F78" s="9" t="n"/>
    </row>
    <row r="79" hidden="1" outlineLevel="1">
      <c r="A79" s="10" t="inlineStr">
        <is>
          <t>#</t>
        </is>
      </c>
      <c r="B79" s="10" t="inlineStr">
        <is>
          <t>Name</t>
        </is>
      </c>
      <c r="C79" s="10" t="inlineStr">
        <is>
          <t>Position</t>
        </is>
      </c>
      <c r="D79" s="10" t="inlineStr">
        <is>
          <t>LinkedIn (Person)</t>
        </is>
      </c>
      <c r="E79" s="10" t="inlineStr">
        <is>
          <t>Email</t>
        </is>
      </c>
      <c r="F79" s="10" t="inlineStr">
        <is>
          <t>Location</t>
        </is>
      </c>
    </row>
    <row r="80" hidden="1" outlineLevel="1">
      <c r="A80" s="11" t="n">
        <v>1</v>
      </c>
      <c r="B80" s="12" t="inlineStr">
        <is>
          <t>Rajkamal Varshney</t>
        </is>
      </c>
      <c r="C80" s="12" t="inlineStr">
        <is>
          <t>Senior Vice President - Marketing &amp; Business Development</t>
        </is>
      </c>
      <c r="D80" s="13">
        <f>HYPERLINK("https://in.linkedin.com/in/rajkamal-varshney-b24590175", "Rajkamal Varshney")</f>
        <v/>
      </c>
      <c r="E80" s="12" t="inlineStr">
        <is>
          <t>—</t>
        </is>
      </c>
      <c r="F80" s="11" t="inlineStr">
        <is>
          <t>Hyderabad, India</t>
        </is>
      </c>
    </row>
    <row r="81" hidden="1" outlineLevel="1">
      <c r="A81" s="14" t="n">
        <v>2</v>
      </c>
      <c r="B81" s="15" t="inlineStr">
        <is>
          <t>Srinivas M</t>
        </is>
      </c>
      <c r="C81" s="15" t="inlineStr">
        <is>
          <t>Head - Human Resources (Viyash Life Sciences)</t>
        </is>
      </c>
      <c r="D81" s="16">
        <f>HYPERLINK("https://in.linkedin.com/in/srinivas-m-973b4817", "Srinivas M")</f>
        <v/>
      </c>
      <c r="E81" s="15" t="inlineStr">
        <is>
          <t>—</t>
        </is>
      </c>
      <c r="F81" s="14" t="inlineStr">
        <is>
          <t>Hyderabad, India</t>
        </is>
      </c>
    </row>
    <row r="82" hidden="1" outlineLevel="1">
      <c r="A82" s="11" t="n">
        <v>3</v>
      </c>
      <c r="B82" s="12" t="inlineStr">
        <is>
          <t>Dr. V.S.R. Prasad</t>
        </is>
      </c>
      <c r="C82" s="12" t="inlineStr">
        <is>
          <t>Head - Tech Transfer &amp; Process Development</t>
        </is>
      </c>
      <c r="D82" s="13">
        <f>HYPERLINK("https://in.linkedin.com/in/dr-v-s-r-prasad-089bb115", "Dr. V.S.R. Prasad")</f>
        <v/>
      </c>
      <c r="E82" s="12" t="inlineStr">
        <is>
          <t>—</t>
        </is>
      </c>
      <c r="F82" s="11" t="inlineStr">
        <is>
          <t>Hyderabad, India</t>
        </is>
      </c>
    </row>
    <row r="83" hidden="1" outlineLevel="1">
      <c r="A83" s="14" t="n">
        <v>4</v>
      </c>
      <c r="B83" s="15" t="inlineStr">
        <is>
          <t>Srinivasarao Attanti</t>
        </is>
      </c>
      <c r="C83" s="15" t="inlineStr">
        <is>
          <t>Vice President (Viyash Life Sciences)</t>
        </is>
      </c>
      <c r="D83" s="16">
        <f>HYPERLINK("https://in.linkedin.com/in/srinivasarao-attanti-b2190a286", "Srinivasarao Attanti")</f>
        <v/>
      </c>
      <c r="E83" s="15" t="inlineStr">
        <is>
          <t>—</t>
        </is>
      </c>
      <c r="F83" s="14" t="inlineStr">
        <is>
          <t>Hyderabad, India</t>
        </is>
      </c>
    </row>
    <row r="84" hidden="1" outlineLevel="1">
      <c r="A84" s="11" t="n">
        <v>5</v>
      </c>
      <c r="B84" s="12" t="inlineStr">
        <is>
          <t>Jagannatha Reddy</t>
        </is>
      </c>
      <c r="C84" s="12" t="inlineStr">
        <is>
          <t>Senior Vice President - Head SCM, Viyash Life Sciences Pvt Ltd</t>
        </is>
      </c>
      <c r="D84" s="13">
        <f>HYPERLINK("https://in.linkedin.com/in/jagannatha-reddy-0907aa187", "Jagannatha Reddy")</f>
        <v/>
      </c>
      <c r="E84" s="12" t="inlineStr">
        <is>
          <t>—</t>
        </is>
      </c>
      <c r="F84" s="11" t="inlineStr">
        <is>
          <t>Hyderabad, India</t>
        </is>
      </c>
    </row>
    <row r="85" hidden="1" outlineLevel="1">
      <c r="A85" s="14" t="n">
        <v>6</v>
      </c>
      <c r="B85" s="15" t="inlineStr">
        <is>
          <t>Ramakant Singani</t>
        </is>
      </c>
      <c r="C85" s="15" t="inlineStr">
        <is>
          <t>CFO / Chief Financial Officer, Viyash Life Sciences / Viyash Scientific Ltd</t>
        </is>
      </c>
      <c r="D85" s="16">
        <f>HYPERLINK("https://in.linkedin.com/in/ramakant-singani-3951ab6", "Ramakant Singani")</f>
        <v/>
      </c>
      <c r="E85" s="15" t="inlineStr">
        <is>
          <t>—</t>
        </is>
      </c>
      <c r="F85" s="14" t="inlineStr">
        <is>
          <t>Hyderabad, India</t>
        </is>
      </c>
    </row>
    <row r="86" hidden="1" outlineLevel="1">
      <c r="A86" s="11" t="n">
        <v>7</v>
      </c>
      <c r="B86" s="12" t="inlineStr">
        <is>
          <t>Dr. Pramod Kumar</t>
        </is>
      </c>
      <c r="C86" s="12" t="inlineStr">
        <is>
          <t>Head API R&amp;D, Viyash Life Sciences</t>
        </is>
      </c>
      <c r="D86" s="13">
        <f>HYPERLINK("https://in.linkedin.com/in/dr-pramod-kumar-36a14015", "Dr. Pramod Kumar")</f>
        <v/>
      </c>
      <c r="E86" s="12" t="inlineStr">
        <is>
          <t>—</t>
        </is>
      </c>
      <c r="F86" s="11" t="inlineStr">
        <is>
          <t>Hyderabad, India</t>
        </is>
      </c>
    </row>
    <row r="87" hidden="1" outlineLevel="1">
      <c r="A87" s="14" t="n">
        <v>8</v>
      </c>
      <c r="B87" s="15" t="inlineStr">
        <is>
          <t>Madan Gupta Dasari</t>
        </is>
      </c>
      <c r="C87" s="15" t="inlineStr">
        <is>
          <t>Deputy General Manager, Viyash Life Science (API)</t>
        </is>
      </c>
      <c r="D87" s="16">
        <f>HYPERLINK("https://in.linkedin.com/in/madan-gupta-dasari-70391390", "Madan Gupta Dasari")</f>
        <v/>
      </c>
      <c r="E87" s="15" t="inlineStr">
        <is>
          <t>—</t>
        </is>
      </c>
      <c r="F87" s="14" t="inlineStr">
        <is>
          <t>Hyderabad, India</t>
        </is>
      </c>
    </row>
    <row r="88" hidden="1" outlineLevel="1">
      <c r="A88" s="11" t="n">
        <v>9</v>
      </c>
      <c r="B88" s="12" t="inlineStr">
        <is>
          <t>Sandip Shah</t>
        </is>
      </c>
      <c r="C88" s="12" t="inlineStr">
        <is>
          <t>Site Head, Viyash Life Sciences Pvt Ltd</t>
        </is>
      </c>
      <c r="D88" s="13">
        <f>HYPERLINK("https://in.linkedin.com/in/sandip-shah-464663236", "Sandip Shah")</f>
        <v/>
      </c>
      <c r="E88" s="12" t="inlineStr">
        <is>
          <t>—</t>
        </is>
      </c>
      <c r="F88" s="11" t="inlineStr">
        <is>
          <t>Hyderabad, India</t>
        </is>
      </c>
    </row>
    <row r="90" ht="28" customHeight="1">
      <c r="A90" s="8" t="inlineStr">
        <is>
          <t xml:space="preserve">  ▸ Wockhardt Limited  (6 contacts)</t>
        </is>
      </c>
      <c r="B90" s="9" t="n"/>
      <c r="C90" s="9" t="n"/>
      <c r="D90" s="9" t="n"/>
      <c r="E90" s="9" t="n"/>
      <c r="F90" s="9" t="n"/>
    </row>
    <row r="91" hidden="1" outlineLevel="1">
      <c r="A91" s="10" t="inlineStr">
        <is>
          <t>#</t>
        </is>
      </c>
      <c r="B91" s="10" t="inlineStr">
        <is>
          <t>Name</t>
        </is>
      </c>
      <c r="C91" s="10" t="inlineStr">
        <is>
          <t>Position</t>
        </is>
      </c>
      <c r="D91" s="10" t="inlineStr">
        <is>
          <t>LinkedIn (Person)</t>
        </is>
      </c>
      <c r="E91" s="10" t="inlineStr">
        <is>
          <t>Email</t>
        </is>
      </c>
      <c r="F91" s="10" t="inlineStr">
        <is>
          <t>Location</t>
        </is>
      </c>
    </row>
    <row r="92" hidden="1" outlineLevel="1">
      <c r="A92" s="11" t="n">
        <v>1</v>
      </c>
      <c r="B92" s="12" t="inlineStr">
        <is>
          <t>Dr Murtaza Khorakiwala</t>
        </is>
      </c>
      <c r="C92" s="12" t="inlineStr">
        <is>
          <t>Managing Director, Wockhardt Ltd.</t>
        </is>
      </c>
      <c r="D92" s="13">
        <f>HYPERLINK("https://in.linkedin.com/in/murtazakhorakiwala", "Dr Murtaza Khorakiwala")</f>
        <v/>
      </c>
      <c r="E92" s="12" t="inlineStr">
        <is>
          <t>—</t>
        </is>
      </c>
      <c r="F92" s="11" t="inlineStr">
        <is>
          <t>Mumbai, India</t>
        </is>
      </c>
    </row>
    <row r="93" hidden="1" outlineLevel="1">
      <c r="A93" s="14" t="n">
        <v>2</v>
      </c>
      <c r="B93" s="15" t="inlineStr">
        <is>
          <t>Prthwijit Kundu</t>
        </is>
      </c>
      <c r="C93" s="15" t="inlineStr">
        <is>
          <t>Chief Medical Officer, NCE NDD, Wockhardt Ltd.</t>
        </is>
      </c>
      <c r="D93" s="16">
        <f>HYPERLINK("https://in.linkedin.com/in/prthwijit-kundu-17132419", "Prthwijit Kundu")</f>
        <v/>
      </c>
      <c r="E93" s="15" t="inlineStr">
        <is>
          <t>—</t>
        </is>
      </c>
      <c r="F93" s="14" t="inlineStr">
        <is>
          <t>Mumbai, India</t>
        </is>
      </c>
    </row>
    <row r="94" hidden="1" outlineLevel="1">
      <c r="A94" s="11" t="n">
        <v>3</v>
      </c>
      <c r="B94" s="12" t="inlineStr">
        <is>
          <t>Dr Parag R Rindani</t>
        </is>
      </c>
      <c r="C94" s="12" t="inlineStr">
        <is>
          <t>Group CEO, Wockhardt Hospitals</t>
        </is>
      </c>
      <c r="D94" s="13">
        <f>HYPERLINK("https://in.linkedin.com/in/dr-parag-r-rindani-3733524", "Dr Parag R Rindani")</f>
        <v/>
      </c>
      <c r="E94" s="12" t="inlineStr">
        <is>
          <t>—</t>
        </is>
      </c>
      <c r="F94" s="11" t="inlineStr">
        <is>
          <t>Mumbai, India</t>
        </is>
      </c>
    </row>
    <row r="95" hidden="1" outlineLevel="1">
      <c r="A95" s="14" t="n">
        <v>4</v>
      </c>
      <c r="B95" s="15" t="inlineStr">
        <is>
          <t>Annapurna Das</t>
        </is>
      </c>
      <c r="C95" s="15" t="inlineStr">
        <is>
          <t>President – India Business &amp; NCE Emerging Markets, Wockhardt Ltd.</t>
        </is>
      </c>
      <c r="D95" s="16">
        <f>HYPERLINK("https://in.linkedin.com/in/annapurna-das-10aa394", "Annapurna Das")</f>
        <v/>
      </c>
      <c r="E95" s="15" t="inlineStr">
        <is>
          <t>—</t>
        </is>
      </c>
      <c r="F95" s="14" t="inlineStr">
        <is>
          <t>Mumbai, India</t>
        </is>
      </c>
    </row>
    <row r="96" hidden="1" outlineLevel="1">
      <c r="A96" s="11" t="n">
        <v>5</v>
      </c>
      <c r="B96" s="12" t="inlineStr">
        <is>
          <t>SURESH V.</t>
        </is>
      </c>
      <c r="C96" s="12" t="inlineStr">
        <is>
          <t>President - Finance</t>
        </is>
      </c>
      <c r="D96" s="13">
        <f>HYPERLINK("https://in.linkedin.com/in/suresh-v-68661176", "SURESH V.")</f>
        <v/>
      </c>
      <c r="E96" s="12" t="inlineStr">
        <is>
          <t>—</t>
        </is>
      </c>
      <c r="F96" s="11" t="inlineStr">
        <is>
          <t>Mumbai, India</t>
        </is>
      </c>
    </row>
    <row r="97" hidden="1" outlineLevel="1">
      <c r="A97" s="14" t="n">
        <v>6</v>
      </c>
      <c r="B97" s="15" t="inlineStr">
        <is>
          <t>SURESH SHENOY</t>
        </is>
      </c>
      <c r="C97" s="15" t="inlineStr">
        <is>
          <t>Senior Vice President</t>
        </is>
      </c>
      <c r="D97" s="16">
        <f>HYPERLINK("https://in.linkedin.com/in/suresh-shenoy-661aa722", "SURESH SHENOY")</f>
        <v/>
      </c>
      <c r="E97" s="15" t="inlineStr">
        <is>
          <t>—</t>
        </is>
      </c>
      <c r="F97" s="14" t="inlineStr">
        <is>
          <t>Mumbai, India</t>
        </is>
      </c>
    </row>
  </sheetData>
  <mergeCells count="10">
    <mergeCell ref="A10:F10"/>
    <mergeCell ref="A28:F28"/>
    <mergeCell ref="A47:F47"/>
    <mergeCell ref="A78:F78"/>
    <mergeCell ref="A36:F36"/>
    <mergeCell ref="A90:F90"/>
    <mergeCell ref="A1:F1"/>
    <mergeCell ref="A20:F20"/>
    <mergeCell ref="A55:F55"/>
    <mergeCell ref="A64:F64"/>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2" r:id="rId14"/>
    <hyperlink xmlns:r="http://schemas.openxmlformats.org/officeDocument/2006/relationships" ref="D23" r:id="rId15"/>
    <hyperlink xmlns:r="http://schemas.openxmlformats.org/officeDocument/2006/relationships" ref="D24" r:id="rId16"/>
    <hyperlink xmlns:r="http://schemas.openxmlformats.org/officeDocument/2006/relationships" ref="D25" r:id="rId17"/>
    <hyperlink xmlns:r="http://schemas.openxmlformats.org/officeDocument/2006/relationships" ref="D26" r:id="rId18"/>
    <hyperlink xmlns:r="http://schemas.openxmlformats.org/officeDocument/2006/relationships" ref="D30" r:id="rId19"/>
    <hyperlink xmlns:r="http://schemas.openxmlformats.org/officeDocument/2006/relationships" ref="D31"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8" r:id="rId24"/>
    <hyperlink xmlns:r="http://schemas.openxmlformats.org/officeDocument/2006/relationships" ref="D39" r:id="rId25"/>
    <hyperlink xmlns:r="http://schemas.openxmlformats.org/officeDocument/2006/relationships" ref="D40" r:id="rId26"/>
    <hyperlink xmlns:r="http://schemas.openxmlformats.org/officeDocument/2006/relationships" ref="D41" r:id="rId27"/>
    <hyperlink xmlns:r="http://schemas.openxmlformats.org/officeDocument/2006/relationships" ref="D42" r:id="rId28"/>
    <hyperlink xmlns:r="http://schemas.openxmlformats.org/officeDocument/2006/relationships" ref="D43" r:id="rId29"/>
    <hyperlink xmlns:r="http://schemas.openxmlformats.org/officeDocument/2006/relationships" ref="D44" r:id="rId30"/>
    <hyperlink xmlns:r="http://schemas.openxmlformats.org/officeDocument/2006/relationships" ref="D45" r:id="rId31"/>
    <hyperlink xmlns:r="http://schemas.openxmlformats.org/officeDocument/2006/relationships" ref="D49" r:id="rId32"/>
    <hyperlink xmlns:r="http://schemas.openxmlformats.org/officeDocument/2006/relationships" ref="D50" r:id="rId33"/>
    <hyperlink xmlns:r="http://schemas.openxmlformats.org/officeDocument/2006/relationships" ref="D51" r:id="rId34"/>
    <hyperlink xmlns:r="http://schemas.openxmlformats.org/officeDocument/2006/relationships" ref="D52" r:id="rId35"/>
    <hyperlink xmlns:r="http://schemas.openxmlformats.org/officeDocument/2006/relationships" ref="D53" r:id="rId36"/>
    <hyperlink xmlns:r="http://schemas.openxmlformats.org/officeDocument/2006/relationships" ref="D57" r:id="rId37"/>
    <hyperlink xmlns:r="http://schemas.openxmlformats.org/officeDocument/2006/relationships" ref="D58" r:id="rId38"/>
    <hyperlink xmlns:r="http://schemas.openxmlformats.org/officeDocument/2006/relationships" ref="D59" r:id="rId39"/>
    <hyperlink xmlns:r="http://schemas.openxmlformats.org/officeDocument/2006/relationships" ref="D60" r:id="rId40"/>
    <hyperlink xmlns:r="http://schemas.openxmlformats.org/officeDocument/2006/relationships" ref="D61" r:id="rId41"/>
    <hyperlink xmlns:r="http://schemas.openxmlformats.org/officeDocument/2006/relationships" ref="D62" r:id="rId42"/>
    <hyperlink xmlns:r="http://schemas.openxmlformats.org/officeDocument/2006/relationships" ref="D66" r:id="rId43"/>
    <hyperlink xmlns:r="http://schemas.openxmlformats.org/officeDocument/2006/relationships" ref="D67" r:id="rId44"/>
    <hyperlink xmlns:r="http://schemas.openxmlformats.org/officeDocument/2006/relationships" ref="D68" r:id="rId45"/>
    <hyperlink xmlns:r="http://schemas.openxmlformats.org/officeDocument/2006/relationships" ref="D69" r:id="rId46"/>
    <hyperlink xmlns:r="http://schemas.openxmlformats.org/officeDocument/2006/relationships" ref="D70" r:id="rId47"/>
    <hyperlink xmlns:r="http://schemas.openxmlformats.org/officeDocument/2006/relationships" ref="D71" r:id="rId48"/>
    <hyperlink xmlns:r="http://schemas.openxmlformats.org/officeDocument/2006/relationships" ref="D72" r:id="rId49"/>
    <hyperlink xmlns:r="http://schemas.openxmlformats.org/officeDocument/2006/relationships" ref="D73" r:id="rId50"/>
    <hyperlink xmlns:r="http://schemas.openxmlformats.org/officeDocument/2006/relationships" ref="D74" r:id="rId51"/>
    <hyperlink xmlns:r="http://schemas.openxmlformats.org/officeDocument/2006/relationships" ref="D75" r:id="rId52"/>
    <hyperlink xmlns:r="http://schemas.openxmlformats.org/officeDocument/2006/relationships" ref="D76" r:id="rId53"/>
    <hyperlink xmlns:r="http://schemas.openxmlformats.org/officeDocument/2006/relationships" ref="D80" r:id="rId54"/>
    <hyperlink xmlns:r="http://schemas.openxmlformats.org/officeDocument/2006/relationships" ref="D81" r:id="rId55"/>
    <hyperlink xmlns:r="http://schemas.openxmlformats.org/officeDocument/2006/relationships" ref="D82" r:id="rId56"/>
    <hyperlink xmlns:r="http://schemas.openxmlformats.org/officeDocument/2006/relationships" ref="D83" r:id="rId57"/>
    <hyperlink xmlns:r="http://schemas.openxmlformats.org/officeDocument/2006/relationships" ref="D84" r:id="rId58"/>
    <hyperlink xmlns:r="http://schemas.openxmlformats.org/officeDocument/2006/relationships" ref="D85" r:id="rId59"/>
    <hyperlink xmlns:r="http://schemas.openxmlformats.org/officeDocument/2006/relationships" ref="D86" r:id="rId60"/>
    <hyperlink xmlns:r="http://schemas.openxmlformats.org/officeDocument/2006/relationships" ref="D87" r:id="rId61"/>
    <hyperlink xmlns:r="http://schemas.openxmlformats.org/officeDocument/2006/relationships" ref="D88" r:id="rId62"/>
    <hyperlink xmlns:r="http://schemas.openxmlformats.org/officeDocument/2006/relationships" ref="D92" r:id="rId63"/>
    <hyperlink xmlns:r="http://schemas.openxmlformats.org/officeDocument/2006/relationships" ref="D93" r:id="rId64"/>
    <hyperlink xmlns:r="http://schemas.openxmlformats.org/officeDocument/2006/relationships" ref="D94" r:id="rId65"/>
    <hyperlink xmlns:r="http://schemas.openxmlformats.org/officeDocument/2006/relationships" ref="D95" r:id="rId66"/>
    <hyperlink xmlns:r="http://schemas.openxmlformats.org/officeDocument/2006/relationships" ref="D96" r:id="rId67"/>
    <hyperlink xmlns:r="http://schemas.openxmlformats.org/officeDocument/2006/relationships" ref="D97" r:id="rId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2026-08-05T17:43:50Z</dcterms:created>
  <dcterms:modified xmlns:dcterms="http://purl.org/dc/terms/" xmlns:xsi="http://www.w3.org/2001/XMLSchema-instance" xsi:type="dcterms:W3CDTF">2026-08-05T17:43:50Z</dcterms:modified>
</cp:coreProperties>
</file>