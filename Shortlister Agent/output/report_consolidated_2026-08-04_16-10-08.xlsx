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color rgb="000563C1"/>
      <u val="single"/>
    </font>
    <font>
      <b val="1"/>
      <color rgb="000F5132"/>
    </font>
    <font>
      <name val="Arial"/>
      <b val="1"/>
      <color rgb="00FFFFFF"/>
      <sz val="12"/>
    </font>
    <font>
      <name val="Arial"/>
      <b val="1"/>
      <color rgb="002F5496"/>
      <sz val="10"/>
    </font>
    <font>
      <name val="Arial"/>
      <sz val="10"/>
    </font>
    <font>
      <name val="Arial"/>
      <color rgb="000563C1"/>
      <sz val="10"/>
      <u val="single"/>
    </font>
  </fonts>
  <fills count="7">
    <fill>
      <patternFill/>
    </fill>
    <fill>
      <patternFill patternType="gray125"/>
    </fill>
    <fill>
      <patternFill patternType="solid">
        <fgColor rgb="001F2937"/>
        <bgColor rgb="001F2937"/>
      </patternFill>
    </fill>
    <fill>
      <patternFill patternType="solid">
        <fgColor rgb="00D1E7DD"/>
        <bgColor rgb="00D1E7DD"/>
      </patternFill>
    </fill>
    <fill>
      <patternFill patternType="solid">
        <fgColor rgb="002F5496"/>
      </patternFill>
    </fill>
    <fill>
      <patternFill patternType="solid">
        <fgColor rgb="00D6E4F0"/>
      </patternFill>
    </fill>
    <fill>
      <patternFill patternType="solid">
        <fgColor rgb="00F2F2F2"/>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0" fillId="4" borderId="1" pivotButton="0" quotePrefix="0" xfId="0"/>
    <xf numFmtId="0" fontId="5" fillId="5" borderId="1" applyAlignment="1" pivotButton="0" quotePrefix="0" xfId="0">
      <alignment horizontal="center" vertical="center"/>
    </xf>
    <xf numFmtId="0" fontId="6" fillId="0" borderId="1" applyAlignment="1" pivotButton="0" quotePrefix="0" xfId="0">
      <alignment horizontal="center" vertical="center"/>
    </xf>
    <xf numFmtId="0" fontId="6" fillId="0" borderId="1" applyAlignment="1" pivotButton="0" quotePrefix="0" xfId="0">
      <alignment vertical="center" wrapText="1"/>
    </xf>
    <xf numFmtId="0" fontId="7" fillId="0" borderId="1" applyAlignment="1" pivotButton="0" quotePrefix="0" xfId="0">
      <alignment vertical="center" wrapText="1"/>
    </xf>
    <xf numFmtId="0" fontId="6" fillId="6" borderId="1" applyAlignment="1" pivotButton="0" quotePrefix="0" xfId="0">
      <alignment horizontal="center" vertical="center"/>
    </xf>
    <xf numFmtId="0" fontId="6" fillId="6" borderId="1" applyAlignment="1" pivotButton="0" quotePrefix="0" xfId="0">
      <alignment vertical="center" wrapText="1"/>
    </xf>
    <xf numFmtId="0" fontId="7" fillId="6"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n.linkedin.com/in/saumya-engineer-6a8803206" TargetMode="External" Id="rId1"/><Relationship Type="http://schemas.openxmlformats.org/officeDocument/2006/relationships/hyperlink" Target="https://www.linkedin.com/company/astralpipesofficial" TargetMode="External" Id="rId2"/><Relationship Type="http://schemas.openxmlformats.org/officeDocument/2006/relationships/hyperlink" Target="https://in.linkedin.com/in/vikas-sharma-20970921" TargetMode="External" Id="rId3"/><Relationship Type="http://schemas.openxmlformats.org/officeDocument/2006/relationships/hyperlink" Target="https://www.linkedin.com/company/astralpipesofficial" TargetMode="External" Id="rId4"/><Relationship Type="http://schemas.openxmlformats.org/officeDocument/2006/relationships/hyperlink" Target="https://in.linkedin.com/in/kairav-engineer-79682530" TargetMode="External" Id="rId5"/><Relationship Type="http://schemas.openxmlformats.org/officeDocument/2006/relationships/hyperlink" Target="https://www.linkedin.com/company/astralpipesofficial" TargetMode="External" Id="rId6"/><Relationship Type="http://schemas.openxmlformats.org/officeDocument/2006/relationships/hyperlink" Target="https://in.linkedin.com/in/yogen-parikh-9104a4a3" TargetMode="External" Id="rId7"/><Relationship Type="http://schemas.openxmlformats.org/officeDocument/2006/relationships/hyperlink" Target="https://www.linkedin.com/company/astralpipesofficial" TargetMode="External" Id="rId8"/><Relationship Type="http://schemas.openxmlformats.org/officeDocument/2006/relationships/hyperlink" Target="https://in.linkedin.com/in/engineer-sandeep-592440105" TargetMode="External" Id="rId9"/><Relationship Type="http://schemas.openxmlformats.org/officeDocument/2006/relationships/hyperlink" Target="https://www.linkedin.com/company/astralpipesofficial" TargetMode="External" Id="rId10"/><Relationship Type="http://schemas.openxmlformats.org/officeDocument/2006/relationships/hyperlink" Target="https://in.linkedin.com/in/hiranand-savlani-816b994b" TargetMode="External" Id="rId11"/><Relationship Type="http://schemas.openxmlformats.org/officeDocument/2006/relationships/hyperlink" Target="https://www.linkedin.com/company/astralpipesofficial" TargetMode="External" Id="rId12"/><Relationship Type="http://schemas.openxmlformats.org/officeDocument/2006/relationships/hyperlink" Target="https://in.linkedin.com/in/manoj-dhar-81458766" TargetMode="External" Id="rId13"/><Relationship Type="http://schemas.openxmlformats.org/officeDocument/2006/relationships/hyperlink" Target="https://www.linkedin.com/company/astralpipesofficial" TargetMode="External" Id="rId14"/><Relationship Type="http://schemas.openxmlformats.org/officeDocument/2006/relationships/hyperlink" Target="https://in.linkedin.com/in/viral-mankodi-6642a06" TargetMode="External" Id="rId15"/><Relationship Type="http://schemas.openxmlformats.org/officeDocument/2006/relationships/hyperlink" Target="https://www.linkedin.com/company/astralpipesofficial" TargetMode="External" Id="rId16"/><Relationship Type="http://schemas.openxmlformats.org/officeDocument/2006/relationships/hyperlink" Target="https://in.linkedin.com/in/mithun-chittilappilly-6834a2197" TargetMode="External" Id="rId17"/><Relationship Type="http://schemas.openxmlformats.org/officeDocument/2006/relationships/hyperlink" Target="https://www.linkedin.com/company/v-guard" TargetMode="External" Id="rId18"/><Relationship Type="http://schemas.openxmlformats.org/officeDocument/2006/relationships/hyperlink" Target="https://in.linkedin.com/in/ramachandranvenketaraman" TargetMode="External" Id="rId19"/><Relationship Type="http://schemas.openxmlformats.org/officeDocument/2006/relationships/hyperlink" Target="https://www.linkedin.com/company/v-guard" TargetMode="External" Id="rId20"/><Relationship Type="http://schemas.openxmlformats.org/officeDocument/2006/relationships/hyperlink" Target="https://in.linkedin.com/in/remya-ann-jose-82627521" TargetMode="External" Id="rId21"/><Relationship Type="http://schemas.openxmlformats.org/officeDocument/2006/relationships/hyperlink" Target="https://www.linkedin.com/company/v-guard" TargetMode="External" Id="rId22"/><Relationship Type="http://schemas.openxmlformats.org/officeDocument/2006/relationships/hyperlink" Target="https://in.linkedin.com/in/anjana-narwal-1664b832" TargetMode="External" Id="rId23"/><Relationship Type="http://schemas.openxmlformats.org/officeDocument/2006/relationships/hyperlink" Target="https://www.linkedin.com/company/v-guard" TargetMode="External" Id="rId24"/><Relationship Type="http://schemas.openxmlformats.org/officeDocument/2006/relationships/hyperlink" Target="https://in.linkedin.com/in/saleesh-sekhar-330077a7" TargetMode="External" Id="rId25"/><Relationship Type="http://schemas.openxmlformats.org/officeDocument/2006/relationships/hyperlink" Target="https://www.linkedin.com/company/v-guard" TargetMode="External" Id="rId26"/><Relationship Type="http://schemas.openxmlformats.org/officeDocument/2006/relationships/hyperlink" Target="https://in.linkedin.com/in/vaitheeshkumar-subramanian-47708b113" TargetMode="External" Id="rId27"/><Relationship Type="http://schemas.openxmlformats.org/officeDocument/2006/relationships/hyperlink" Target="https://www.linkedin.com/company/sundram-fasteners" TargetMode="External" Id="rId28"/><Relationship Type="http://schemas.openxmlformats.org/officeDocument/2006/relationships/hyperlink" Target="https://in.linkedin.com/in/dr-ramesh-s-569150223" TargetMode="External" Id="rId29"/><Relationship Type="http://schemas.openxmlformats.org/officeDocument/2006/relationships/hyperlink" Target="https://www.linkedin.com/company/sundram-fasteners" TargetMode="External" Id="rId30"/><Relationship Type="http://schemas.openxmlformats.org/officeDocument/2006/relationships/hyperlink" Target="https://in.linkedin.com/in/krishnan-ramanujan-7246936" TargetMode="External" Id="rId31"/><Relationship Type="http://schemas.openxmlformats.org/officeDocument/2006/relationships/hyperlink" Target="https://www.linkedin.com/company/sundram-fasteners" TargetMode="External" Id="rId32"/><Relationship Type="http://schemas.openxmlformats.org/officeDocument/2006/relationships/hyperlink" Target="https://in.linkedin.com/in/atul-kumar-agrawal-17b76319b" TargetMode="External" Id="rId33"/><Relationship Type="http://schemas.openxmlformats.org/officeDocument/2006/relationships/hyperlink" Target="https://www.linkedin.com/company/sundram-fasteners" TargetMode="External" Id="rId34"/><Relationship Type="http://schemas.openxmlformats.org/officeDocument/2006/relationships/hyperlink" Target="https://in.linkedin.com/in/ganesh-ramamoorthy-17b960b7" TargetMode="External" Id="rId35"/><Relationship Type="http://schemas.openxmlformats.org/officeDocument/2006/relationships/hyperlink" Target="https://www.linkedin.com/company/sundram-fasteners" TargetMode="External" Id="rId36"/><Relationship Type="http://schemas.openxmlformats.org/officeDocument/2006/relationships/hyperlink" Target="https://in.linkedin.com/in/m-sundaram-srinivasan-648a5ba" TargetMode="External" Id="rId37"/><Relationship Type="http://schemas.openxmlformats.org/officeDocument/2006/relationships/hyperlink" Target="https://www.linkedin.com/company/sundram-fasteners" TargetMode="External" Id="rId38"/><Relationship Type="http://schemas.openxmlformats.org/officeDocument/2006/relationships/hyperlink" Target="https://in.linkedin.com/in/krishnan-r-hosur-div-mkt-3955032a1" TargetMode="External" Id="rId39"/><Relationship Type="http://schemas.openxmlformats.org/officeDocument/2006/relationships/hyperlink" Target="https://www.linkedin.com/company/sundram-fasteners" TargetMode="External" Id="rId40"/><Relationship Type="http://schemas.openxmlformats.org/officeDocument/2006/relationships/hyperlink" Target="https://in.linkedin.com/in/john-paul-x-70290a49" TargetMode="External" Id="rId41"/><Relationship Type="http://schemas.openxmlformats.org/officeDocument/2006/relationships/hyperlink" Target="https://www.linkedin.com/company/sundram-fasteners" TargetMode="External" Id="rId42"/><Relationship Type="http://schemas.openxmlformats.org/officeDocument/2006/relationships/hyperlink" Target="https://in.linkedin.com/in/rajagopalan-srinivasan-52abb8251" TargetMode="External" Id="rId43"/><Relationship Type="http://schemas.openxmlformats.org/officeDocument/2006/relationships/hyperlink" Target="https://www.linkedin.com/company/sundram-fasteners" TargetMode="External" Id="rId44"/><Relationship Type="http://schemas.openxmlformats.org/officeDocument/2006/relationships/hyperlink" Target="https://in.linkedin.com/in/harihara-subramanian-pr-b70716108" TargetMode="External" Id="rId45"/><Relationship Type="http://schemas.openxmlformats.org/officeDocument/2006/relationships/hyperlink" Target="https://www.linkedin.com/company/sundram-fasteners" TargetMode="External" Id="rId46"/><Relationship Type="http://schemas.openxmlformats.org/officeDocument/2006/relationships/hyperlink" Target="https://in.linkedin.com/in/arumugam-subramanian-bb7a10202" TargetMode="External" Id="rId47"/><Relationship Type="http://schemas.openxmlformats.org/officeDocument/2006/relationships/hyperlink" Target="https://www.linkedin.com/company/sundram-fasteners" TargetMode="External" Id="rId48"/><Relationship Type="http://schemas.openxmlformats.org/officeDocument/2006/relationships/hyperlink" Target="https://in.linkedin.com/in/ramanathan-subramanian-966245125" TargetMode="External" Id="rId49"/><Relationship Type="http://schemas.openxmlformats.org/officeDocument/2006/relationships/hyperlink" Target="https://www.linkedin.com/company/sundram-fasteners" TargetMode="External" Id="rId50"/><Relationship Type="http://schemas.openxmlformats.org/officeDocument/2006/relationships/hyperlink" Target="https://in.linkedin.com/in/subramanian-c-5063401b3" TargetMode="External" Id="rId51"/><Relationship Type="http://schemas.openxmlformats.org/officeDocument/2006/relationships/hyperlink" Target="https://www.linkedin.com/company/sundram-fasteners" TargetMode="External" Id="rId52"/><Relationship Type="http://schemas.openxmlformats.org/officeDocument/2006/relationships/hyperlink" Target="https://in.linkedin.com/in/vivek-gupta-61018422" TargetMode="External" Id="rId53"/><Relationship Type="http://schemas.openxmlformats.org/officeDocument/2006/relationships/hyperlink" Target="https://www.linkedin.com/company/jbm-group" TargetMode="External" Id="rId54"/><Relationship Type="http://schemas.openxmlformats.org/officeDocument/2006/relationships/hyperlink" Target="https://in.linkedin.com/in/dhiraj-mohan-74958411" TargetMode="External" Id="rId55"/><Relationship Type="http://schemas.openxmlformats.org/officeDocument/2006/relationships/hyperlink" Target="https://www.linkedin.com/company/jbm-group" TargetMode="External" Id="rId56"/><Relationship Type="http://schemas.openxmlformats.org/officeDocument/2006/relationships/hyperlink" Target="https://in.linkedin.com/in/sanjay-rusia-85a45442" TargetMode="External" Id="rId57"/><Relationship Type="http://schemas.openxmlformats.org/officeDocument/2006/relationships/hyperlink" Target="https://www.linkedin.com/company/jbm-group" TargetMode="External" Id="rId58"/><Relationship Type="http://schemas.openxmlformats.org/officeDocument/2006/relationships/hyperlink" Target="https://in.linkedin.com/in/rajiv-sahdev-7a436410" TargetMode="External" Id="rId59"/><Relationship Type="http://schemas.openxmlformats.org/officeDocument/2006/relationships/hyperlink" Target="https://www.linkedin.com/company/jbm-group" TargetMode="External" Id="rId60"/><Relationship Type="http://schemas.openxmlformats.org/officeDocument/2006/relationships/hyperlink" Target="https://in.linkedin.com/in/krishan-kumar-gupta-8b778a16" TargetMode="External" Id="rId61"/><Relationship Type="http://schemas.openxmlformats.org/officeDocument/2006/relationships/hyperlink" Target="https://www.linkedin.com/company/jbm-group" TargetMode="External" Id="rId62"/><Relationship Type="http://schemas.openxmlformats.org/officeDocument/2006/relationships/hyperlink" Target="https://in.linkedin.com/in/sumit-doseja-80442016" TargetMode="External" Id="rId63"/><Relationship Type="http://schemas.openxmlformats.org/officeDocument/2006/relationships/hyperlink" Target="https://www.linkedin.com/company/sparkminda" TargetMode="External" Id="rId64"/><Relationship Type="http://schemas.openxmlformats.org/officeDocument/2006/relationships/hyperlink" Target="https://in.linkedin.com/in/sunil-goel-4b275b24" TargetMode="External" Id="rId65"/><Relationship Type="http://schemas.openxmlformats.org/officeDocument/2006/relationships/hyperlink" Target="https://www.linkedin.com/company/sparkminda" TargetMode="External" Id="rId66"/><Relationship Type="http://schemas.openxmlformats.org/officeDocument/2006/relationships/hyperlink" Target="https://in.linkedin.com/in/dr-suresh-d-402a6229" TargetMode="External" Id="rId67"/><Relationship Type="http://schemas.openxmlformats.org/officeDocument/2006/relationships/hyperlink" Target="https://www.linkedin.com/company/sparkminda" TargetMode="External" Id="rId68"/><Relationship Type="http://schemas.openxmlformats.org/officeDocument/2006/relationships/hyperlink" Target="https://in.linkedin.com/in/aakash-minda-638a1121" TargetMode="External" Id="rId69"/><Relationship Type="http://schemas.openxmlformats.org/officeDocument/2006/relationships/hyperlink" Target="https://www.linkedin.com/company/sparkminda" TargetMode="External" Id="rId70"/><Relationship Type="http://schemas.openxmlformats.org/officeDocument/2006/relationships/hyperlink" Target="https://in.linkedin.com/in/ashok-minda-083671229" TargetMode="External" Id="rId71"/><Relationship Type="http://schemas.openxmlformats.org/officeDocument/2006/relationships/hyperlink" Target="https://www.linkedin.com/company/sparkminda" TargetMode="External" Id="rId72"/><Relationship Type="http://schemas.openxmlformats.org/officeDocument/2006/relationships/hyperlink" Target="https://in.linkedin.com/in/vaikuntam-srinivasan-a6a07910" TargetMode="External" Id="rId73"/><Relationship Type="http://schemas.openxmlformats.org/officeDocument/2006/relationships/hyperlink" Target="https://www.linkedin.com/company/sparkminda" TargetMode="External" Id="rId74"/><Relationship Type="http://schemas.openxmlformats.org/officeDocument/2006/relationships/hyperlink" Target="https://in.linkedin.com/in/anup-gupta-652805135" TargetMode="External" Id="rId75"/><Relationship Type="http://schemas.openxmlformats.org/officeDocument/2006/relationships/hyperlink" Target="https://www.linkedin.com/company/sparkminda" TargetMode="External" Id="rId76"/><Relationship Type="http://schemas.openxmlformats.org/officeDocument/2006/relationships/hyperlink" Target="https://in.linkedin.com/in/amit-kumar-srivastava-52892623" TargetMode="External" Id="rId77"/><Relationship Type="http://schemas.openxmlformats.org/officeDocument/2006/relationships/hyperlink" Target="https://www.linkedin.com/company/sparkminda" TargetMode="External" Id="rId78"/><Relationship Type="http://schemas.openxmlformats.org/officeDocument/2006/relationships/hyperlink" Target="https://in.linkedin.com/in/vinaypawar" TargetMode="External" Id="rId79"/><Relationship Type="http://schemas.openxmlformats.org/officeDocument/2006/relationships/hyperlink" Target="https://www.linkedin.com/company/sparkminda" TargetMode="External" Id="rId80"/><Relationship Type="http://schemas.openxmlformats.org/officeDocument/2006/relationships/hyperlink" Target="https://in.linkedin.com/in/deepak-arora-57655215" TargetMode="External" Id="rId81"/><Relationship Type="http://schemas.openxmlformats.org/officeDocument/2006/relationships/hyperlink" Target="https://www.linkedin.com/company/sparkminda" TargetMode="External" Id="rId82"/><Relationship Type="http://schemas.openxmlformats.org/officeDocument/2006/relationships/hyperlink" Target="https://in.linkedin.com/in/nirmal-k-minda-74b8a4295" TargetMode="External" Id="rId83"/><Relationship Type="http://schemas.openxmlformats.org/officeDocument/2006/relationships/hyperlink" Target="https://www.linkedin.com/company/sparkminda" TargetMode="External" Id="rId84"/><Relationship Type="http://schemas.openxmlformats.org/officeDocument/2006/relationships/hyperlink" Target="https://in.linkedin.com/in/sumeet-kabra-93231b58" TargetMode="External" Id="rId85"/><Relationship Type="http://schemas.openxmlformats.org/officeDocument/2006/relationships/hyperlink" Target="https://in.linkedin.com/in/vivek-iyer-541947118" TargetMode="External" Id="rId86"/><Relationship Type="http://schemas.openxmlformats.org/officeDocument/2006/relationships/hyperlink" Target="https://in.linkedin.com/in/sudhir-masaji-a8429b35" TargetMode="External" Id="rId87"/><Relationship Type="http://schemas.openxmlformats.org/officeDocument/2006/relationships/hyperlink" Target="https://in.linkedin.com/in/subhashish-ghosh-95231125" TargetMode="External" Id="rId88"/><Relationship Type="http://schemas.openxmlformats.org/officeDocument/2006/relationships/hyperlink" Target="https://in.linkedin.com/in/nimesh-chandak-0a9728194" TargetMode="External" Id="rId89"/><Relationship Type="http://schemas.openxmlformats.org/officeDocument/2006/relationships/hyperlink" Target="https://in.linkedin.com/in/ca-divakar-yadav-1a8552229" TargetMode="External" Id="rId90"/><Relationship Type="http://schemas.openxmlformats.org/officeDocument/2006/relationships/hyperlink" Target="https://in.linkedin.com/in/sunil-kumar-singh-ba25b436" TargetMode="External" Id="rId91"/><Relationship Type="http://schemas.openxmlformats.org/officeDocument/2006/relationships/hyperlink" Target="https://in.linkedin.com/in/navin-sethia-33331b15" TargetMode="External" Id="rId92"/><Relationship Type="http://schemas.openxmlformats.org/officeDocument/2006/relationships/hyperlink" Target="https://in.linkedin.com/in/dhawal-bhandari-76b08a170" TargetMode="External" Id="rId93"/><Relationship Type="http://schemas.openxmlformats.org/officeDocument/2006/relationships/hyperlink" Target="https://in.linkedin.com/in/sridhar-subramanian-178a8215b" TargetMode="External" Id="rId94"/><Relationship Type="http://schemas.openxmlformats.org/officeDocument/2006/relationships/hyperlink" Target="https://www.linkedin.com/company/rane-holdings-limited" TargetMode="External" Id="rId95"/><Relationship Type="http://schemas.openxmlformats.org/officeDocument/2006/relationships/hyperlink" Target="https://in.linkedin.com/in/rajesh-raghavan-900b8710" TargetMode="External" Id="rId96"/><Relationship Type="http://schemas.openxmlformats.org/officeDocument/2006/relationships/hyperlink" Target="https://www.linkedin.com/company/rane-holdings-limited" TargetMode="External" Id="rId97"/><Relationship Type="http://schemas.openxmlformats.org/officeDocument/2006/relationships/hyperlink" Target="https://in.linkedin.com/in/ramasubramanianvenkatraman" TargetMode="External" Id="rId98"/><Relationship Type="http://schemas.openxmlformats.org/officeDocument/2006/relationships/hyperlink" Target="https://www.linkedin.com/company/rane-holdings-limited" TargetMode="External" Id="rId99"/><Relationship Type="http://schemas.openxmlformats.org/officeDocument/2006/relationships/hyperlink" Target="https://in.linkedin.com/in/murugan-vp-b1135a141" TargetMode="External" Id="rId100"/><Relationship Type="http://schemas.openxmlformats.org/officeDocument/2006/relationships/hyperlink" Target="https://www.linkedin.com/company/rane-holdings-limited" TargetMode="External" Id="rId101"/><Relationship Type="http://schemas.openxmlformats.org/officeDocument/2006/relationships/hyperlink" Target="https://in.linkedin.com/in/leslie-c-51a734138" TargetMode="External" Id="rId102"/><Relationship Type="http://schemas.openxmlformats.org/officeDocument/2006/relationships/hyperlink" Target="https://www.linkedin.com/company/rane-holdings-limited" TargetMode="External" Id="rId103"/><Relationship Type="http://schemas.openxmlformats.org/officeDocument/2006/relationships/hyperlink" Target="https://in.linkedin.com/in/arun-julasaria-19b71322" TargetMode="External" Id="rId104"/><Relationship Type="http://schemas.openxmlformats.org/officeDocument/2006/relationships/hyperlink" Target="https://www.linkedin.com/company/century-plyboards-limited" TargetMode="External" Id="rId105"/><Relationship Type="http://schemas.openxmlformats.org/officeDocument/2006/relationships/hyperlink" Target="https://in.linkedin.com/in/sanjay-agarwal-b9504523" TargetMode="External" Id="rId106"/><Relationship Type="http://schemas.openxmlformats.org/officeDocument/2006/relationships/hyperlink" Target="https://www.linkedin.com/company/century-plyboards-limited" TargetMode="External" Id="rId107"/><Relationship Type="http://schemas.openxmlformats.org/officeDocument/2006/relationships/hyperlink" Target="https://in.linkedin.com/in/vishu-goel-07a4a2200" TargetMode="External" Id="rId108"/><Relationship Type="http://schemas.openxmlformats.org/officeDocument/2006/relationships/hyperlink" Target="https://www.linkedin.com/company/century-plyboards-limited" TargetMode="External" Id="rId109"/><Relationship Type="http://schemas.openxmlformats.org/officeDocument/2006/relationships/hyperlink" Target="https://in.linkedin.com/in/rajesh-kumar-agarwal-00b80254" TargetMode="External" Id="rId110"/><Relationship Type="http://schemas.openxmlformats.org/officeDocument/2006/relationships/hyperlink" Target="https://www.linkedin.com/company/century-plyboards-limited" TargetMode="External" Id="rId111"/><Relationship Type="http://schemas.openxmlformats.org/officeDocument/2006/relationships/hyperlink" Target="https://in.linkedin.com/in/sajjan-bhajanka-28b545152" TargetMode="External" Id="rId112"/><Relationship Type="http://schemas.openxmlformats.org/officeDocument/2006/relationships/hyperlink" Target="https://www.linkedin.com/company/century-plyboards-limited" TargetMode="External" Id="rId113"/><Relationship Type="http://schemas.openxmlformats.org/officeDocument/2006/relationships/hyperlink" Target="https://in.linkedin.com/in/ashutosh-jaiswal-7309911a" TargetMode="External" Id="rId114"/><Relationship Type="http://schemas.openxmlformats.org/officeDocument/2006/relationships/hyperlink" Target="https://www.linkedin.com/company/century-plyboards-limited" TargetMode="External" Id="rId115"/><Relationship Type="http://schemas.openxmlformats.org/officeDocument/2006/relationships/hyperlink" Target="https://in.linkedin.com/in/dr-sandip-pradhan-208420118" TargetMode="External" Id="rId116"/><Relationship Type="http://schemas.openxmlformats.org/officeDocument/2006/relationships/hyperlink" Target="https://www.linkedin.com/company/century-plyboards-limited" TargetMode="External" Id="rId117"/><Relationship Type="http://schemas.openxmlformats.org/officeDocument/2006/relationships/hyperlink" Target="https://in.linkedin.com/in/prem-kumar-763a9228" TargetMode="External" Id="rId118"/><Relationship Type="http://schemas.openxmlformats.org/officeDocument/2006/relationships/hyperlink" Target="https://www.linkedin.com/company/century-plyboards-limited" TargetMode="External" Id="rId119"/><Relationship Type="http://schemas.openxmlformats.org/officeDocument/2006/relationships/hyperlink" Target="https://in.linkedin.com/in/pradeep-kumar-verma-266212217" TargetMode="External" Id="rId120"/><Relationship Type="http://schemas.openxmlformats.org/officeDocument/2006/relationships/hyperlink" Target="https://www.linkedin.com/company/century-plyboards-limited" TargetMode="External" Id="rId121"/><Relationship Type="http://schemas.openxmlformats.org/officeDocument/2006/relationships/hyperlink" Target="https://in.linkedin.com/in/srivats-ram-98b60a8" TargetMode="External" Id="rId122"/><Relationship Type="http://schemas.openxmlformats.org/officeDocument/2006/relationships/hyperlink" Target="https://www.linkedin.com/company/wheelsindialimited" TargetMode="External" Id="rId123"/><Relationship Type="http://schemas.openxmlformats.org/officeDocument/2006/relationships/hyperlink" Target="https://in.linkedin.com/in/sanjay-pande-6232b039" TargetMode="External" Id="rId124"/><Relationship Type="http://schemas.openxmlformats.org/officeDocument/2006/relationships/hyperlink" Target="https://www.linkedin.com/company/wheelsindialimited" TargetMode="External" Id="rId125"/><Relationship Type="http://schemas.openxmlformats.org/officeDocument/2006/relationships/hyperlink" Target="https://in.linkedin.com/in/rajasekar-lakshmanan-83528b19" TargetMode="External" Id="rId126"/><Relationship Type="http://schemas.openxmlformats.org/officeDocument/2006/relationships/hyperlink" Target="https://www.linkedin.com/company/wheelsindialimited" TargetMode="External" Id="rId127"/><Relationship Type="http://schemas.openxmlformats.org/officeDocument/2006/relationships/hyperlink" Target="https://in.linkedin.com/in/diwakar-balashankar-6203b2a" TargetMode="External" Id="rId128"/><Relationship Type="http://schemas.openxmlformats.org/officeDocument/2006/relationships/hyperlink" Target="https://www.linkedin.com/company/wheelsindialimited" TargetMode="External" Id="rId129"/><Relationship Type="http://schemas.openxmlformats.org/officeDocument/2006/relationships/hyperlink" Target="https://in.linkedin.com/in/sundar-m-511b272a2" TargetMode="External" Id="rId130"/><Relationship Type="http://schemas.openxmlformats.org/officeDocument/2006/relationships/hyperlink" Target="https://www.linkedin.com/company/wheelsindialimited" TargetMode="External" Id="rId131"/><Relationship Type="http://schemas.openxmlformats.org/officeDocument/2006/relationships/hyperlink" Target="https://in.linkedin.com/in/v-balakrishnan-14459336" TargetMode="External" Id="rId132"/><Relationship Type="http://schemas.openxmlformats.org/officeDocument/2006/relationships/hyperlink" Target="https://www.linkedin.com/company/wheelsindialimited" TargetMode="External" Id="rId133"/><Relationship Type="http://schemas.openxmlformats.org/officeDocument/2006/relationships/hyperlink" Target="https://in.linkedin.com/in/natarajan-ponnusamy-b0399b12" TargetMode="External" Id="rId134"/><Relationship Type="http://schemas.openxmlformats.org/officeDocument/2006/relationships/hyperlink" Target="https://www.linkedin.com/company/wheelsindialimited" TargetMode="External" Id="rId135"/><Relationship Type="http://schemas.openxmlformats.org/officeDocument/2006/relationships/hyperlink" Target="https://in.linkedin.com/in/shankar-manigandeswaran" TargetMode="External" Id="rId136"/><Relationship Type="http://schemas.openxmlformats.org/officeDocument/2006/relationships/hyperlink" Target="https://www.linkedin.com/company/wheelsindialimited" TargetMode="External" Id="rId137"/><Relationship Type="http://schemas.openxmlformats.org/officeDocument/2006/relationships/hyperlink" Target="https://in.linkedin.com/in/ravi-shankar-24852165" TargetMode="External" Id="rId138"/><Relationship Type="http://schemas.openxmlformats.org/officeDocument/2006/relationships/hyperlink" Target="https://www.linkedin.com/company/wheelsindialimited" TargetMode="External" Id="rId139"/><Relationship Type="http://schemas.openxmlformats.org/officeDocument/2006/relationships/hyperlink" Target="https://in.linkedin.com/in/shankar-velayutham-12381136" TargetMode="External" Id="rId140"/><Relationship Type="http://schemas.openxmlformats.org/officeDocument/2006/relationships/hyperlink" Target="https://www.linkedin.com/company/wheelsindialimited" TargetMode="External" Id="rId141"/><Relationship Type="http://schemas.openxmlformats.org/officeDocument/2006/relationships/hyperlink" Target="https://in.linkedin.com/in/mohan-joshi-44290a218" TargetMode="External" Id="rId142"/><Relationship Type="http://schemas.openxmlformats.org/officeDocument/2006/relationships/hyperlink" Target="https://www.linkedin.com/company/steel-strips-wheels-limited" TargetMode="External" Id="rId143"/><Relationship Type="http://schemas.openxmlformats.org/officeDocument/2006/relationships/hyperlink" Target="https://in.linkedin.com/in/sanjay-singh-3459a562" TargetMode="External" Id="rId144"/><Relationship Type="http://schemas.openxmlformats.org/officeDocument/2006/relationships/hyperlink" Target="https://www.linkedin.com/company/steel-strips-wheels-limited" TargetMode="External" Id="rId145"/><Relationship Type="http://schemas.openxmlformats.org/officeDocument/2006/relationships/hyperlink" Target="https://in.linkedin.com/in/sushil-gupta-5115141a" TargetMode="External" Id="rId146"/><Relationship Type="http://schemas.openxmlformats.org/officeDocument/2006/relationships/hyperlink" Target="https://www.linkedin.com/company/steel-strips-wheels-limited" TargetMode="External" Id="rId147"/><Relationship Type="http://schemas.openxmlformats.org/officeDocument/2006/relationships/hyperlink" Target="https://in.linkedin.com/in/rajesh-trikha-a16324269" TargetMode="External" Id="rId148"/><Relationship Type="http://schemas.openxmlformats.org/officeDocument/2006/relationships/hyperlink" Target="https://www.linkedin.com/company/steel-strips-wheels-limited" TargetMode="External" Id="rId149"/><Relationship Type="http://schemas.openxmlformats.org/officeDocument/2006/relationships/hyperlink" Target="https://in.linkedin.com/in/rajith-m-k-263b5565" TargetMode="External" Id="rId150"/><Relationship Type="http://schemas.openxmlformats.org/officeDocument/2006/relationships/hyperlink" Target="https://www.linkedin.com/company/steel-strips-wheels-limited" TargetMode="External" Id="rId151"/></Relationships>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36" customWidth="1" min="1" max="1"/>
    <col width="17" customWidth="1" min="2" max="2"/>
    <col width="30" customWidth="1" min="3" max="3"/>
    <col width="16" customWidth="1" min="4" max="4"/>
    <col width="21" customWidth="1" min="5" max="5"/>
    <col width="17" customWidth="1" min="6" max="6"/>
    <col width="20" customWidth="1" min="7" max="7"/>
    <col width="60" customWidth="1" min="8" max="8"/>
    <col width="12" customWidth="1" min="9" max="9"/>
    <col width="22" customWidth="1" min="10" max="10"/>
    <col width="22" customWidth="1" min="11" max="11"/>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Location</t>
        </is>
      </c>
      <c r="H1" s="1" t="inlineStr">
        <is>
          <t>Business Summary</t>
        </is>
      </c>
      <c r="I1" s="1" t="inlineStr">
        <is>
          <t>Website</t>
        </is>
      </c>
      <c r="J1" s="1" t="inlineStr">
        <is>
          <t>LinkedIn (Verified)</t>
        </is>
      </c>
      <c r="K1" s="1" t="inlineStr">
        <is>
          <t>LinkedIn Confirmed?</t>
        </is>
      </c>
    </row>
    <row r="2">
      <c r="A2" t="inlineStr">
        <is>
          <t>Astral Limited</t>
        </is>
      </c>
      <c r="B2" t="inlineStr">
        <is>
          <t>NSE:ASTRAL</t>
        </is>
      </c>
      <c r="C2" t="inlineStr">
        <is>
          <t>Miscellaneous Manufacturing</t>
        </is>
      </c>
      <c r="D2" t="n">
        <v>65686000000</v>
      </c>
      <c r="E2" t="n">
        <v>5366000000</v>
      </c>
      <c r="F2" t="n">
        <v>4899</v>
      </c>
      <c r="G2" t="inlineStr">
        <is>
          <t>Ahmedabad, India</t>
        </is>
      </c>
      <c r="H2" t="inlineStr">
        <is>
          <t>Astral Limited engages in the manufacture and marketing of pipes and fittings, water tanks, and adhesives and sealants in India and internationally. It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specialised, industrial adhesives, and epoxy putty; specialized valves, such as compact true, single union, and industrial ball valves; construction chemicals comprising bathroom and basement waterproofing, tile adhesives and grouts, exterior roof and wall coatings, polymers and integral compounds, and repair products; and infrastructure products comprising drainage, cable protection, and PT duct systems; and specialised fittings, such as electrofusion, compression, PPR fittings, integrated and mechanica clamp, integrated composite strap-on saddles, PVC conduit for concealed wiring system, and investment castings. The company was formerly known as Astral Poly Technik Limited and changed its name to Astral Limited in April 2021. Astral Limited was incorporated in 1996 and is headquartered in Ahmedabad, India.</t>
        </is>
      </c>
      <c r="I2" s="2">
        <f>HYPERLINK("https://astralltd.com", "https://astralltd.com")</f>
        <v/>
      </c>
      <c r="J2" s="2">
        <f>HYPERLINK("https://www.linkedin.com/company/astralpipesofficial", "https://www.linkedin.com/company/astralpipesofficial")</f>
        <v/>
      </c>
      <c r="K2" s="3" t="inlineStr">
        <is>
          <t>Verified</t>
        </is>
      </c>
    </row>
    <row r="3">
      <c r="A3" t="inlineStr">
        <is>
          <t>V-Guard Industries Limited</t>
        </is>
      </c>
      <c r="B3" t="inlineStr">
        <is>
          <t>BSE:VGUARD</t>
        </is>
      </c>
      <c r="C3" t="inlineStr">
        <is>
          <t>Electrical Products</t>
        </is>
      </c>
      <c r="D3" t="n">
        <v>63103500000</v>
      </c>
      <c r="E3" t="n">
        <v>3647300000</v>
      </c>
      <c r="F3" t="n">
        <v>3219</v>
      </c>
      <c r="G3" t="inlineStr">
        <is>
          <t>Kochi, India</t>
        </is>
      </c>
      <c r="H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I3" s="2">
        <f>HYPERLINK("https://www.vguard.in", "https://www.vguard.in")</f>
        <v/>
      </c>
      <c r="J3" s="2">
        <f>HYPERLINK("https://www.linkedin.com/company/v-guard", "https://www.linkedin.com/company/v-guard")</f>
        <v/>
      </c>
      <c r="K3" s="3" t="inlineStr">
        <is>
          <t>Verified</t>
        </is>
      </c>
    </row>
    <row r="4">
      <c r="A4" t="inlineStr">
        <is>
          <t>Sundram Fasteners Limited</t>
        </is>
      </c>
      <c r="B4" t="inlineStr">
        <is>
          <t>NSE:SUNDRMFAST</t>
        </is>
      </c>
      <c r="C4" t="inlineStr">
        <is>
          <t>Auto Parts: OEM</t>
        </is>
      </c>
      <c r="D4" t="n">
        <v>62888200000</v>
      </c>
      <c r="E4" t="n">
        <v>5911900000</v>
      </c>
      <c r="F4" t="n">
        <v>3108</v>
      </c>
      <c r="G4" t="inlineStr">
        <is>
          <t>Chennai, India</t>
        </is>
      </c>
      <c r="H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spokes and nipples, automobile kits, tools, dowel pins, small screws, cold extruded parts and other parts; and engages in information technology business providing enterprise solutions for core industries like manufacturing, automotive and distribution. Sundram Fasteners Limited was incorporated in 1962 and is headquartered in Chennai, India.</t>
        </is>
      </c>
      <c r="I4" s="2">
        <f>HYPERLINK("https://www.sundram.com", "https://www.sundram.com")</f>
        <v/>
      </c>
      <c r="J4" s="2">
        <f>HYPERLINK("https://www.linkedin.com/company/sundram-fasteners", "https://www.linkedin.com/company/sundram-fasteners")</f>
        <v/>
      </c>
      <c r="K4" s="3" t="inlineStr">
        <is>
          <t>Verified</t>
        </is>
      </c>
    </row>
    <row r="5">
      <c r="A5" t="inlineStr">
        <is>
          <t>JBM Auto Limited</t>
        </is>
      </c>
      <c r="B5" t="inlineStr">
        <is>
          <t>BSE:JBMA</t>
        </is>
      </c>
      <c r="C5" t="inlineStr">
        <is>
          <t>Auto Parts: OEM</t>
        </is>
      </c>
      <c r="D5" t="n">
        <v>62769400000</v>
      </c>
      <c r="E5" t="n">
        <v>2241800000</v>
      </c>
      <c r="F5" t="n">
        <v>3555</v>
      </c>
      <c r="G5" t="inlineStr">
        <is>
          <t>Gurugram, India</t>
        </is>
      </c>
      <c r="H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I5" s="2">
        <f>HYPERLINK("https://www.jbmgroup.com", "https://www.jbmgroup.com")</f>
        <v/>
      </c>
      <c r="J5" s="2">
        <f>HYPERLINK("https://www.linkedin.com/company/jbm-group", "https://www.linkedin.com/company/jbm-group")</f>
        <v/>
      </c>
      <c r="K5" s="3" t="inlineStr">
        <is>
          <t>Verified</t>
        </is>
      </c>
    </row>
    <row r="6">
      <c r="A6" t="inlineStr">
        <is>
          <t>Minda Corporation Limited</t>
        </is>
      </c>
      <c r="B6" t="inlineStr">
        <is>
          <t>BSE:MINDACORP</t>
        </is>
      </c>
      <c r="C6" t="inlineStr">
        <is>
          <t>Auto Parts: OEM</t>
        </is>
      </c>
      <c r="D6" t="n">
        <v>61853400000</v>
      </c>
      <c r="E6" t="n">
        <v>3602600000</v>
      </c>
      <c r="F6" t="n">
        <v>3405</v>
      </c>
      <c r="G6" t="inlineStr">
        <is>
          <t>Noida, India</t>
        </is>
      </c>
      <c r="H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I6" s="2">
        <f>HYPERLINK("https://sparkminda.com", "https://sparkminda.com")</f>
        <v/>
      </c>
      <c r="J6" s="2">
        <f>HYPERLINK("https://www.linkedin.com/company/sparkminda", "https://www.linkedin.com/company/sparkminda")</f>
        <v/>
      </c>
      <c r="K6" s="3" t="inlineStr">
        <is>
          <t>Verified</t>
        </is>
      </c>
    </row>
    <row r="7">
      <c r="A7" t="inlineStr">
        <is>
          <t>Ram Ratna Wires Limited</t>
        </is>
      </c>
      <c r="B7" t="inlineStr">
        <is>
          <t>NSE:RAMRAT</t>
        </is>
      </c>
      <c r="C7" t="inlineStr">
        <is>
          <t>Electrical Products</t>
        </is>
      </c>
      <c r="D7" t="n">
        <v>60474618000</v>
      </c>
      <c r="E7" t="n">
        <v>1268083000</v>
      </c>
      <c r="F7" t="n">
        <v>1288</v>
      </c>
      <c r="G7" t="inlineStr">
        <is>
          <t>Mumbai, India</t>
        </is>
      </c>
      <c r="H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I7" s="2">
        <f>HYPERLINK("https://www.rrshramik.com", "https://www.rrshramik.com")</f>
        <v/>
      </c>
      <c r="J7" t="inlineStr">
        <is>
          <t>NOT FOUND</t>
        </is>
      </c>
      <c r="K7" s="3" t="inlineStr">
        <is>
          <t>Verified</t>
        </is>
      </c>
    </row>
    <row r="8">
      <c r="A8" t="inlineStr">
        <is>
          <t>Rane Holdings Limited</t>
        </is>
      </c>
      <c r="B8" t="inlineStr">
        <is>
          <t>BSE:RANEHOLDIN</t>
        </is>
      </c>
      <c r="C8" t="inlineStr">
        <is>
          <t>Auto Parts: OEM</t>
        </is>
      </c>
      <c r="D8" t="n">
        <v>58833100000</v>
      </c>
      <c r="E8" t="n">
        <v>978700000</v>
      </c>
      <c r="F8" t="n">
        <v>130</v>
      </c>
      <c r="G8" t="inlineStr">
        <is>
          <t>Chennai, India</t>
        </is>
      </c>
      <c r="H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I8" s="2">
        <f>HYPERLINK("https://www.ranegroup.com", "https://www.ranegroup.com")</f>
        <v/>
      </c>
      <c r="J8" s="2">
        <f>HYPERLINK("https://www.linkedin.com/company/rane-holdings-limited", "https://www.linkedin.com/company/rane-holdings-limited")</f>
        <v/>
      </c>
      <c r="K8" s="3" t="inlineStr">
        <is>
          <t>Verified</t>
        </is>
      </c>
    </row>
    <row r="9">
      <c r="A9" t="inlineStr">
        <is>
          <t>Century Plyboards (India) Limited</t>
        </is>
      </c>
      <c r="B9" t="inlineStr">
        <is>
          <t>NSE:CENTURYPLY</t>
        </is>
      </c>
      <c r="C9" t="inlineStr">
        <is>
          <t>Building Products</t>
        </is>
      </c>
      <c r="D9" t="n">
        <v>57892045000</v>
      </c>
      <c r="E9" t="n">
        <v>2911405000</v>
      </c>
      <c r="F9" t="inlineStr"/>
      <c r="G9" t="inlineStr">
        <is>
          <t>Kolkata, India</t>
        </is>
      </c>
      <c r="H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I9" s="2">
        <f>HYPERLINK("https://www.centuryply.com", "https://www.centuryply.com")</f>
        <v/>
      </c>
      <c r="J9" s="2">
        <f>HYPERLINK("https://www.linkedin.com/company/century-plyboards-limited", "https://www.linkedin.com/company/century-plyboards-limited")</f>
        <v/>
      </c>
      <c r="K9" s="3" t="inlineStr">
        <is>
          <t>Verified</t>
        </is>
      </c>
    </row>
    <row r="10">
      <c r="A10" t="inlineStr">
        <is>
          <t>Wheels India Limited</t>
        </is>
      </c>
      <c r="B10" t="inlineStr">
        <is>
          <t>NSE:WHEELS</t>
        </is>
      </c>
      <c r="C10" t="inlineStr">
        <is>
          <t>Auto Parts: OEM</t>
        </is>
      </c>
      <c r="D10" t="n">
        <v>56904400000</v>
      </c>
      <c r="E10" t="n">
        <v>1634600000</v>
      </c>
      <c r="F10" t="n">
        <v>2735</v>
      </c>
      <c r="G10" t="inlineStr">
        <is>
          <t>Chennai, India</t>
        </is>
      </c>
      <c r="H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I10" s="2">
        <f>HYPERLINK("https://www.wheelsindia.com", "https://www.wheelsindia.com")</f>
        <v/>
      </c>
      <c r="J10" s="2">
        <f>HYPERLINK("https://www.linkedin.com/company/wheelsindialimited", "https://www.linkedin.com/company/wheelsindialimited")</f>
        <v/>
      </c>
      <c r="K10" s="3" t="inlineStr">
        <is>
          <t>Verified</t>
        </is>
      </c>
    </row>
    <row r="11">
      <c r="A11" t="inlineStr">
        <is>
          <t>Steel Strips Wheels Limited</t>
        </is>
      </c>
      <c r="B11" t="inlineStr">
        <is>
          <t>NSE:SSWL</t>
        </is>
      </c>
      <c r="C11" t="inlineStr">
        <is>
          <t>Auto Parts: OEM</t>
        </is>
      </c>
      <c r="D11" t="n">
        <v>55058362000</v>
      </c>
      <c r="E11" t="n">
        <v>2124273000</v>
      </c>
      <c r="F11" t="inlineStr"/>
      <c r="G11" t="inlineStr">
        <is>
          <t>Chandigarh, India</t>
        </is>
      </c>
      <c r="H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I11" s="2">
        <f>HYPERLINK("https://sswlindia.com", "https://sswlindia.com")</f>
        <v/>
      </c>
      <c r="J11" s="2">
        <f>HYPERLINK("https://www.linkedin.com/company/steel-strips-wheels-limited", "https://www.linkedin.com/company/steel-strips-wheels-limited")</f>
        <v/>
      </c>
      <c r="K11" s="3" t="inlineStr">
        <is>
          <t>Verified</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F109"/>
  <sheetViews>
    <sheetView showGridLines="0" workbookViewId="0">
      <selection activeCell="A1" sqref="A1"/>
    </sheetView>
  </sheetViews>
  <sheetFormatPr baseColWidth="8" defaultRowHeight="15"/>
  <cols>
    <col width="6" customWidth="1" min="1" max="1"/>
    <col width="28" customWidth="1" min="2" max="2"/>
    <col width="50" customWidth="1" min="3" max="3"/>
    <col width="45" customWidth="1" min="4" max="4"/>
    <col width="45" customWidth="1" min="5" max="5"/>
    <col width="18" customWidth="1" min="6" max="6"/>
  </cols>
  <sheetData>
    <row r="1" ht="28" customHeight="1">
      <c r="A1" s="4" t="inlineStr">
        <is>
          <t xml:space="preserve">  ▸ Astral Limited  (8 contacts)</t>
        </is>
      </c>
      <c r="B1" s="5" t="n"/>
      <c r="C1" s="5" t="n"/>
      <c r="D1" s="5" t="n"/>
      <c r="E1" s="5" t="n"/>
      <c r="F1" s="5" t="n"/>
    </row>
    <row r="2" hidden="1" outlineLevel="1">
      <c r="A2" s="6" t="inlineStr">
        <is>
          <t>#</t>
        </is>
      </c>
      <c r="B2" s="6" t="inlineStr">
        <is>
          <t>Name</t>
        </is>
      </c>
      <c r="C2" s="6" t="inlineStr">
        <is>
          <t>Position</t>
        </is>
      </c>
      <c r="D2" s="6" t="inlineStr">
        <is>
          <t>LinkedIn (Person)</t>
        </is>
      </c>
      <c r="E2" s="6" t="inlineStr">
        <is>
          <t>Company LinkedIn</t>
        </is>
      </c>
      <c r="F2" s="6" t="inlineStr">
        <is>
          <t>Location</t>
        </is>
      </c>
    </row>
    <row r="3" hidden="1" outlineLevel="1">
      <c r="A3" s="7" t="n">
        <v>1</v>
      </c>
      <c r="B3" s="8" t="inlineStr">
        <is>
          <t>Saumya Engineer</t>
        </is>
      </c>
      <c r="C3" s="8" t="inlineStr">
        <is>
          <t>Chief Executive Officer - Adhesives &amp; Paints, Astral Limited</t>
        </is>
      </c>
      <c r="D3" s="9" t="inlineStr">
        <is>
          <t>Saumya Engineer</t>
        </is>
      </c>
      <c r="E3" s="9" t="inlineStr">
        <is>
          <t>Astral Limited</t>
        </is>
      </c>
      <c r="F3" s="7" t="inlineStr">
        <is>
          <t>Ahmedabad, India</t>
        </is>
      </c>
    </row>
    <row r="4" hidden="1" outlineLevel="1">
      <c r="A4" s="10" t="n">
        <v>2</v>
      </c>
      <c r="B4" s="11" t="inlineStr">
        <is>
          <t>Vikas Sharma</t>
        </is>
      </c>
      <c r="C4" s="11" t="inlineStr">
        <is>
          <t>Vice President (Projects), Astral Limited</t>
        </is>
      </c>
      <c r="D4" s="12" t="inlineStr">
        <is>
          <t>Vikas Sharma</t>
        </is>
      </c>
      <c r="E4" s="12" t="inlineStr">
        <is>
          <t>Astral Limited</t>
        </is>
      </c>
      <c r="F4" s="10" t="inlineStr">
        <is>
          <t>Ahmedabad, India</t>
        </is>
      </c>
    </row>
    <row r="5" hidden="1" outlineLevel="1">
      <c r="A5" s="7" t="n">
        <v>3</v>
      </c>
      <c r="B5" s="8" t="inlineStr">
        <is>
          <t>Kairav Engineer</t>
        </is>
      </c>
      <c r="C5" s="8" t="inlineStr">
        <is>
          <t>Executive Director, Astral Limited</t>
        </is>
      </c>
      <c r="D5" s="9" t="inlineStr">
        <is>
          <t>Kairav Engineer</t>
        </is>
      </c>
      <c r="E5" s="9" t="inlineStr">
        <is>
          <t>Astral Limited</t>
        </is>
      </c>
      <c r="F5" s="7" t="inlineStr">
        <is>
          <t>Ahmedabad, India</t>
        </is>
      </c>
    </row>
    <row r="6" hidden="1" outlineLevel="1">
      <c r="A6" s="10" t="n">
        <v>4</v>
      </c>
      <c r="B6" s="11" t="inlineStr">
        <is>
          <t>Yogen Parikh</t>
        </is>
      </c>
      <c r="C6" s="11" t="inlineStr">
        <is>
          <t>MarCom Head, Astral Group (Pipes, Adhesives, Faucets &amp; Sanitaryware)</t>
        </is>
      </c>
      <c r="D6" s="12" t="inlineStr">
        <is>
          <t>Yogen Parikh</t>
        </is>
      </c>
      <c r="E6" s="12" t="inlineStr">
        <is>
          <t>Astral Limited</t>
        </is>
      </c>
      <c r="F6" s="10" t="inlineStr">
        <is>
          <t>Ahmedabad, India</t>
        </is>
      </c>
    </row>
    <row r="7" hidden="1" outlineLevel="1">
      <c r="A7" s="7" t="n">
        <v>5</v>
      </c>
      <c r="B7" s="8" t="inlineStr">
        <is>
          <t>Sandeep Pravinbhai Engineer</t>
        </is>
      </c>
      <c r="C7" s="8" t="inlineStr">
        <is>
          <t>Chairman &amp; Managing Director</t>
        </is>
      </c>
      <c r="D7" s="9" t="inlineStr">
        <is>
          <t>Sandeep Pravinbhai Engineer</t>
        </is>
      </c>
      <c r="E7" s="9" t="inlineStr">
        <is>
          <t>Astral Limited</t>
        </is>
      </c>
      <c r="F7" s="7" t="inlineStr">
        <is>
          <t>Ahmedabad, India</t>
        </is>
      </c>
    </row>
    <row r="8" hidden="1" outlineLevel="1">
      <c r="A8" s="10" t="n">
        <v>6</v>
      </c>
      <c r="B8" s="11" t="inlineStr">
        <is>
          <t>Hiranand Savlani</t>
        </is>
      </c>
      <c r="C8" s="11" t="inlineStr">
        <is>
          <t>CFO &amp; Executive Director</t>
        </is>
      </c>
      <c r="D8" s="12" t="inlineStr">
        <is>
          <t>Hiranand Savlani</t>
        </is>
      </c>
      <c r="E8" s="12" t="inlineStr">
        <is>
          <t>Astral Limited</t>
        </is>
      </c>
      <c r="F8" s="10" t="inlineStr">
        <is>
          <t>Ahmedabad, India</t>
        </is>
      </c>
    </row>
    <row r="9" hidden="1" outlineLevel="1">
      <c r="A9" s="7" t="n">
        <v>7</v>
      </c>
      <c r="B9" s="8" t="inlineStr">
        <is>
          <t>Manoj Dhar</t>
        </is>
      </c>
      <c r="C9" s="8" t="inlineStr">
        <is>
          <t>Senior Vice President (Government, Infra and Industrial Products)</t>
        </is>
      </c>
      <c r="D9" s="9" t="inlineStr">
        <is>
          <t>Manoj Dhar</t>
        </is>
      </c>
      <c r="E9" s="9" t="inlineStr">
        <is>
          <t>Astral Limited</t>
        </is>
      </c>
      <c r="F9" s="7" t="inlineStr">
        <is>
          <t>Ahmedabad, India</t>
        </is>
      </c>
    </row>
    <row r="10" hidden="1" outlineLevel="1">
      <c r="A10" s="10" t="n">
        <v>8</v>
      </c>
      <c r="B10" s="11" t="inlineStr">
        <is>
          <t>Viral Mankodi</t>
        </is>
      </c>
      <c r="C10" s="11" t="inlineStr">
        <is>
          <t>General Manager - HR, Corporate Office</t>
        </is>
      </c>
      <c r="D10" s="12" t="inlineStr">
        <is>
          <t>Viral Mankodi</t>
        </is>
      </c>
      <c r="E10" s="12" t="inlineStr">
        <is>
          <t>Astral Limited</t>
        </is>
      </c>
      <c r="F10" s="10" t="inlineStr">
        <is>
          <t>Ahmedabad, India</t>
        </is>
      </c>
    </row>
    <row r="12" ht="28" customHeight="1">
      <c r="A12" s="4" t="inlineStr">
        <is>
          <t xml:space="preserve">  ▸ V-Guard Industries Limited  (5 contacts)</t>
        </is>
      </c>
      <c r="B12" s="5" t="n"/>
      <c r="C12" s="5" t="n"/>
      <c r="D12" s="5" t="n"/>
      <c r="E12" s="5" t="n"/>
      <c r="F12" s="5" t="n"/>
    </row>
    <row r="13" hidden="1" outlineLevel="1">
      <c r="A13" s="6" t="inlineStr">
        <is>
          <t>#</t>
        </is>
      </c>
      <c r="B13" s="6" t="inlineStr">
        <is>
          <t>Name</t>
        </is>
      </c>
      <c r="C13" s="6" t="inlineStr">
        <is>
          <t>Position</t>
        </is>
      </c>
      <c r="D13" s="6" t="inlineStr">
        <is>
          <t>LinkedIn (Person)</t>
        </is>
      </c>
      <c r="E13" s="6" t="inlineStr">
        <is>
          <t>Company LinkedIn</t>
        </is>
      </c>
      <c r="F13" s="6" t="inlineStr">
        <is>
          <t>Location</t>
        </is>
      </c>
    </row>
    <row r="14" hidden="1" outlineLevel="1">
      <c r="A14" s="7" t="n">
        <v>1</v>
      </c>
      <c r="B14" s="8" t="inlineStr">
        <is>
          <t>Mithun Chittilappilly</t>
        </is>
      </c>
      <c r="C14" s="8" t="inlineStr">
        <is>
          <t>Managing Director (MD)</t>
        </is>
      </c>
      <c r="D14" s="9" t="inlineStr">
        <is>
          <t>Mithun Chittilappilly</t>
        </is>
      </c>
      <c r="E14" s="9" t="inlineStr">
        <is>
          <t>V-Guard Industries Limited</t>
        </is>
      </c>
      <c r="F14" s="7" t="inlineStr">
        <is>
          <t>Kochi, India</t>
        </is>
      </c>
    </row>
    <row r="15" hidden="1" outlineLevel="1">
      <c r="A15" s="10" t="n">
        <v>2</v>
      </c>
      <c r="B15" s="11" t="inlineStr">
        <is>
          <t>Ramachandran Venkataraman</t>
        </is>
      </c>
      <c r="C15" s="11" t="inlineStr">
        <is>
          <t>Director</t>
        </is>
      </c>
      <c r="D15" s="12" t="inlineStr">
        <is>
          <t>Ramachandran Venkataraman</t>
        </is>
      </c>
      <c r="E15" s="12" t="inlineStr">
        <is>
          <t>V-Guard Industries Limited</t>
        </is>
      </c>
      <c r="F15" s="10" t="inlineStr">
        <is>
          <t>Kochi, India</t>
        </is>
      </c>
    </row>
    <row r="16" hidden="1" outlineLevel="1">
      <c r="A16" s="7" t="n">
        <v>3</v>
      </c>
      <c r="B16" s="8" t="inlineStr">
        <is>
          <t>Remya Ann Jose</t>
        </is>
      </c>
      <c r="C16" s="8" t="inlineStr">
        <is>
          <t>DGM &amp; Head - Talent Management</t>
        </is>
      </c>
      <c r="D16" s="9" t="inlineStr">
        <is>
          <t>Remya Ann Jose</t>
        </is>
      </c>
      <c r="E16" s="9" t="inlineStr">
        <is>
          <t>V-Guard Industries Limited</t>
        </is>
      </c>
      <c r="F16" s="7" t="inlineStr">
        <is>
          <t>Kochi, India</t>
        </is>
      </c>
    </row>
    <row r="17" hidden="1" outlineLevel="1">
      <c r="A17" s="10" t="n">
        <v>4</v>
      </c>
      <c r="B17" s="11" t="inlineStr">
        <is>
          <t>Anjana Narwal</t>
        </is>
      </c>
      <c r="C17" s="11" t="inlineStr">
        <is>
          <t>Member (Board Director) &amp; Head</t>
        </is>
      </c>
      <c r="D17" s="12" t="inlineStr">
        <is>
          <t>Anjana Narwal</t>
        </is>
      </c>
      <c r="E17" s="12" t="inlineStr">
        <is>
          <t>V-Guard Industries Limited</t>
        </is>
      </c>
      <c r="F17" s="10" t="inlineStr">
        <is>
          <t>Kochi, India</t>
        </is>
      </c>
    </row>
    <row r="18" hidden="1" outlineLevel="1">
      <c r="A18" s="7" t="n">
        <v>5</v>
      </c>
      <c r="B18" s="8" t="inlineStr">
        <is>
          <t>Saleesh Sekhar</t>
        </is>
      </c>
      <c r="C18" s="8" t="inlineStr">
        <is>
          <t>Chief Financial Officer (CFO)</t>
        </is>
      </c>
      <c r="D18" s="9" t="inlineStr">
        <is>
          <t>Saleesh Sekhar</t>
        </is>
      </c>
      <c r="E18" s="9" t="inlineStr">
        <is>
          <t>V-Guard Industries Limited</t>
        </is>
      </c>
      <c r="F18" s="7" t="inlineStr">
        <is>
          <t>Kochi, India</t>
        </is>
      </c>
    </row>
    <row r="20" ht="28" customHeight="1">
      <c r="A20" s="4" t="inlineStr">
        <is>
          <t xml:space="preserve">  ▸ Sundram Fasteners Limited  (13 contacts)</t>
        </is>
      </c>
      <c r="B20" s="5" t="n"/>
      <c r="C20" s="5" t="n"/>
      <c r="D20" s="5" t="n"/>
      <c r="E20" s="5" t="n"/>
      <c r="F20" s="5" t="n"/>
    </row>
    <row r="21" hidden="1" outlineLevel="1">
      <c r="A21" s="6" t="inlineStr">
        <is>
          <t>#</t>
        </is>
      </c>
      <c r="B21" s="6" t="inlineStr">
        <is>
          <t>Name</t>
        </is>
      </c>
      <c r="C21" s="6" t="inlineStr">
        <is>
          <t>Position</t>
        </is>
      </c>
      <c r="D21" s="6" t="inlineStr">
        <is>
          <t>LinkedIn (Person)</t>
        </is>
      </c>
      <c r="E21" s="6" t="inlineStr">
        <is>
          <t>Company LinkedIn</t>
        </is>
      </c>
      <c r="F21" s="6" t="inlineStr">
        <is>
          <t>Location</t>
        </is>
      </c>
    </row>
    <row r="22" hidden="1" outlineLevel="1">
      <c r="A22" s="7" t="n">
        <v>1</v>
      </c>
      <c r="B22" s="8" t="inlineStr">
        <is>
          <t>Vaitheeshkumar Subramanian</t>
        </is>
      </c>
      <c r="C22" s="8" t="inlineStr">
        <is>
          <t>Vice President</t>
        </is>
      </c>
      <c r="D22" s="9" t="inlineStr">
        <is>
          <t>Vaitheeshkumar Subramanian</t>
        </is>
      </c>
      <c r="E22" s="9" t="inlineStr">
        <is>
          <t>Sundram Fasteners Limited</t>
        </is>
      </c>
      <c r="F22" s="7" t="inlineStr">
        <is>
          <t>Chennai, India</t>
        </is>
      </c>
    </row>
    <row r="23" hidden="1" outlineLevel="1">
      <c r="A23" s="10" t="n">
        <v>2</v>
      </c>
      <c r="B23" s="11" t="inlineStr">
        <is>
          <t>Dr. Ramesh S</t>
        </is>
      </c>
      <c r="C23" s="11" t="inlineStr">
        <is>
          <t>Executive Vice President - Operations</t>
        </is>
      </c>
      <c r="D23" s="12" t="inlineStr">
        <is>
          <t>Dr. Ramesh S</t>
        </is>
      </c>
      <c r="E23" s="12" t="inlineStr">
        <is>
          <t>Sundram Fasteners Limited</t>
        </is>
      </c>
      <c r="F23" s="10" t="inlineStr">
        <is>
          <t>Chennai, India</t>
        </is>
      </c>
    </row>
    <row r="24" hidden="1" outlineLevel="1">
      <c r="A24" s="7" t="n">
        <v>3</v>
      </c>
      <c r="B24" s="8" t="inlineStr">
        <is>
          <t>Krishnan Ramanujan</t>
        </is>
      </c>
      <c r="C24" s="8" t="inlineStr">
        <is>
          <t>Executive Vice President - Marketing</t>
        </is>
      </c>
      <c r="D24" s="9" t="inlineStr">
        <is>
          <t>Krishnan Ramanujan</t>
        </is>
      </c>
      <c r="E24" s="9" t="inlineStr">
        <is>
          <t>Sundram Fasteners Limited</t>
        </is>
      </c>
      <c r="F24" s="7" t="inlineStr">
        <is>
          <t>Chennai, India</t>
        </is>
      </c>
    </row>
    <row r="25" hidden="1" outlineLevel="1">
      <c r="A25" s="10" t="n">
        <v>4</v>
      </c>
      <c r="B25" s="11" t="inlineStr">
        <is>
          <t>Atul Kumar Agrawal</t>
        </is>
      </c>
      <c r="C25" s="11" t="inlineStr">
        <is>
          <t>Executive Vice President - Engineering</t>
        </is>
      </c>
      <c r="D25" s="12" t="inlineStr">
        <is>
          <t>Atul Kumar Agrawal</t>
        </is>
      </c>
      <c r="E25" s="12" t="inlineStr">
        <is>
          <t>Sundram Fasteners Limited</t>
        </is>
      </c>
      <c r="F25" s="10" t="inlineStr">
        <is>
          <t>Chennai, India</t>
        </is>
      </c>
    </row>
    <row r="26" hidden="1" outlineLevel="1">
      <c r="A26" s="7" t="n">
        <v>5</v>
      </c>
      <c r="B26" s="8" t="inlineStr">
        <is>
          <t>Ganesh Ramamoorthy</t>
        </is>
      </c>
      <c r="C26" s="8" t="inlineStr">
        <is>
          <t>Vice President - Finance &amp; Projects</t>
        </is>
      </c>
      <c r="D26" s="9" t="inlineStr">
        <is>
          <t>Ganesh Ramamoorthy</t>
        </is>
      </c>
      <c r="E26" s="9" t="inlineStr">
        <is>
          <t>Sundram Fasteners Limited</t>
        </is>
      </c>
      <c r="F26" s="7" t="inlineStr">
        <is>
          <t>Chennai, India</t>
        </is>
      </c>
    </row>
    <row r="27" hidden="1" outlineLevel="1">
      <c r="A27" s="10" t="n">
        <v>6</v>
      </c>
      <c r="B27" s="11" t="inlineStr">
        <is>
          <t>M. Sundaram Srinivasan</t>
        </is>
      </c>
      <c r="C27" s="11" t="inlineStr">
        <is>
          <t>Vice President - Finance</t>
        </is>
      </c>
      <c r="D27" s="12" t="inlineStr">
        <is>
          <t>M. Sundaram Srinivasan</t>
        </is>
      </c>
      <c r="E27" s="12" t="inlineStr">
        <is>
          <t>Sundram Fasteners Limited</t>
        </is>
      </c>
      <c r="F27" s="10" t="inlineStr">
        <is>
          <t>Chennai, India</t>
        </is>
      </c>
    </row>
    <row r="28" hidden="1" outlineLevel="1">
      <c r="A28" s="7" t="n">
        <v>7</v>
      </c>
      <c r="B28" s="8" t="inlineStr">
        <is>
          <t>Krishnan R</t>
        </is>
      </c>
      <c r="C28" s="8" t="inlineStr">
        <is>
          <t>Vice President (HOSUR-DIV)</t>
        </is>
      </c>
      <c r="D28" s="9" t="inlineStr">
        <is>
          <t>Krishnan R</t>
        </is>
      </c>
      <c r="E28" s="9" t="inlineStr">
        <is>
          <t>Sundram Fasteners Limited</t>
        </is>
      </c>
      <c r="F28" s="7" t="inlineStr">
        <is>
          <t>Chennai, India</t>
        </is>
      </c>
    </row>
    <row r="29" hidden="1" outlineLevel="1">
      <c r="A29" s="10" t="n">
        <v>8</v>
      </c>
      <c r="B29" s="11" t="inlineStr">
        <is>
          <t>John Paul X</t>
        </is>
      </c>
      <c r="C29" s="11" t="inlineStr">
        <is>
          <t>Manager HR</t>
        </is>
      </c>
      <c r="D29" s="12" t="inlineStr">
        <is>
          <t>John Paul X</t>
        </is>
      </c>
      <c r="E29" s="12" t="inlineStr">
        <is>
          <t>Sundram Fasteners Limited</t>
        </is>
      </c>
      <c r="F29" s="10" t="inlineStr">
        <is>
          <t>Chennai, India</t>
        </is>
      </c>
    </row>
    <row r="30" hidden="1" outlineLevel="1">
      <c r="A30" s="7" t="n">
        <v>9</v>
      </c>
      <c r="B30" s="8" t="inlineStr">
        <is>
          <t>Rajagopalan Srinivasan</t>
        </is>
      </c>
      <c r="C30" s="8" t="inlineStr">
        <is>
          <t>Vice President</t>
        </is>
      </c>
      <c r="D30" s="9" t="inlineStr">
        <is>
          <t>Rajagopalan Srinivasan</t>
        </is>
      </c>
      <c r="E30" s="9" t="inlineStr">
        <is>
          <t>Sundram Fasteners Limited</t>
        </is>
      </c>
      <c r="F30" s="7" t="inlineStr">
        <is>
          <t>Chennai, India</t>
        </is>
      </c>
    </row>
    <row r="31" hidden="1" outlineLevel="1">
      <c r="A31" s="10" t="n">
        <v>10</v>
      </c>
      <c r="B31" s="11" t="inlineStr">
        <is>
          <t>Harihara Subramanian PR</t>
        </is>
      </c>
      <c r="C31" s="11" t="inlineStr">
        <is>
          <t>Head - Corporate Quality</t>
        </is>
      </c>
      <c r="D31" s="12" t="inlineStr">
        <is>
          <t>Harihara Subramanian PR</t>
        </is>
      </c>
      <c r="E31" s="12" t="inlineStr">
        <is>
          <t>Sundram Fasteners Limited</t>
        </is>
      </c>
      <c r="F31" s="10" t="inlineStr">
        <is>
          <t>Chennai, India</t>
        </is>
      </c>
    </row>
    <row r="32" hidden="1" outlineLevel="1">
      <c r="A32" s="7" t="n">
        <v>11</v>
      </c>
      <c r="B32" s="8" t="inlineStr">
        <is>
          <t>Arumugam Subramanian</t>
        </is>
      </c>
      <c r="C32" s="8" t="inlineStr">
        <is>
          <t>Manager</t>
        </is>
      </c>
      <c r="D32" s="9" t="inlineStr">
        <is>
          <t>Arumugam Subramanian</t>
        </is>
      </c>
      <c r="E32" s="9" t="inlineStr">
        <is>
          <t>Sundram Fasteners Limited</t>
        </is>
      </c>
      <c r="F32" s="7" t="inlineStr">
        <is>
          <t>Chennai, India</t>
        </is>
      </c>
    </row>
    <row r="33" hidden="1" outlineLevel="1">
      <c r="A33" s="10" t="n">
        <v>12</v>
      </c>
      <c r="B33" s="11" t="inlineStr">
        <is>
          <t>Ramanathan Subramanian</t>
        </is>
      </c>
      <c r="C33" s="11" t="inlineStr">
        <is>
          <t>General Manager</t>
        </is>
      </c>
      <c r="D33" s="12" t="inlineStr">
        <is>
          <t>Ramanathan Subramanian</t>
        </is>
      </c>
      <c r="E33" s="12" t="inlineStr">
        <is>
          <t>Sundram Fasteners Limited</t>
        </is>
      </c>
      <c r="F33" s="10" t="inlineStr">
        <is>
          <t>Chennai, India</t>
        </is>
      </c>
    </row>
    <row r="34" hidden="1" outlineLevel="1">
      <c r="A34" s="7" t="n">
        <v>13</v>
      </c>
      <c r="B34" s="8" t="inlineStr">
        <is>
          <t>Subramanian C</t>
        </is>
      </c>
      <c r="C34" s="8" t="inlineStr">
        <is>
          <t>Purchasing Executive</t>
        </is>
      </c>
      <c r="D34" s="9" t="inlineStr">
        <is>
          <t>Subramanian C</t>
        </is>
      </c>
      <c r="E34" s="9" t="inlineStr">
        <is>
          <t>Sundram Fasteners Limited</t>
        </is>
      </c>
      <c r="F34" s="7" t="inlineStr">
        <is>
          <t>Chennai, India</t>
        </is>
      </c>
    </row>
    <row r="36" ht="28" customHeight="1">
      <c r="A36" s="4" t="inlineStr">
        <is>
          <t xml:space="preserve">  ▸ JBM Auto Limited  (5 contacts)</t>
        </is>
      </c>
      <c r="B36" s="5" t="n"/>
      <c r="C36" s="5" t="n"/>
      <c r="D36" s="5" t="n"/>
      <c r="E36" s="5" t="n"/>
      <c r="F36" s="5" t="n"/>
    </row>
    <row r="37" hidden="1" outlineLevel="1">
      <c r="A37" s="6" t="inlineStr">
        <is>
          <t>#</t>
        </is>
      </c>
      <c r="B37" s="6" t="inlineStr">
        <is>
          <t>Name</t>
        </is>
      </c>
      <c r="C37" s="6" t="inlineStr">
        <is>
          <t>Position</t>
        </is>
      </c>
      <c r="D37" s="6" t="inlineStr">
        <is>
          <t>LinkedIn (Person)</t>
        </is>
      </c>
      <c r="E37" s="6" t="inlineStr">
        <is>
          <t>Company LinkedIn</t>
        </is>
      </c>
      <c r="F37" s="6" t="inlineStr">
        <is>
          <t>Location</t>
        </is>
      </c>
    </row>
    <row r="38" hidden="1" outlineLevel="1">
      <c r="A38" s="7" t="n">
        <v>1</v>
      </c>
      <c r="B38" s="8" t="inlineStr">
        <is>
          <t>Vivek Gupta</t>
        </is>
      </c>
      <c r="C38" s="8" t="inlineStr">
        <is>
          <t>President &amp; CFO at JBM Auto Ltd.</t>
        </is>
      </c>
      <c r="D38" s="9" t="inlineStr">
        <is>
          <t>Vivek Gupta</t>
        </is>
      </c>
      <c r="E38" s="9" t="inlineStr">
        <is>
          <t>JBM Auto Limited</t>
        </is>
      </c>
      <c r="F38" s="7" t="inlineStr">
        <is>
          <t>Gurugram, India</t>
        </is>
      </c>
    </row>
    <row r="39" hidden="1" outlineLevel="1">
      <c r="A39" s="10" t="n">
        <v>2</v>
      </c>
      <c r="B39" s="11" t="inlineStr">
        <is>
          <t>Dhiraj Mohan</t>
        </is>
      </c>
      <c r="C39" s="11" t="inlineStr">
        <is>
          <t>Executive Director at JBM Auto Ltd</t>
        </is>
      </c>
      <c r="D39" s="12" t="inlineStr">
        <is>
          <t>Dhiraj Mohan</t>
        </is>
      </c>
      <c r="E39" s="12" t="inlineStr">
        <is>
          <t>JBM Auto Limited</t>
        </is>
      </c>
      <c r="F39" s="10" t="inlineStr">
        <is>
          <t>Gurugram, India</t>
        </is>
      </c>
    </row>
    <row r="40" hidden="1" outlineLevel="1">
      <c r="A40" s="7" t="n">
        <v>3</v>
      </c>
      <c r="B40" s="8" t="inlineStr">
        <is>
          <t>Sanjay Rusia</t>
        </is>
      </c>
      <c r="C40" s="8" t="inlineStr">
        <is>
          <t>President &amp; CEO at JBM Electric Vehicles Pvt. Ltd.</t>
        </is>
      </c>
      <c r="D40" s="9" t="inlineStr">
        <is>
          <t>Sanjay Rusia</t>
        </is>
      </c>
      <c r="E40" s="9" t="inlineStr">
        <is>
          <t>JBM Auto Limited</t>
        </is>
      </c>
      <c r="F40" s="7" t="inlineStr">
        <is>
          <t>Gurugram, India</t>
        </is>
      </c>
    </row>
    <row r="41" hidden="1" outlineLevel="1">
      <c r="A41" s="10" t="n">
        <v>4</v>
      </c>
      <c r="B41" s="11" t="inlineStr">
        <is>
          <t>Rajiv Sahdev</t>
        </is>
      </c>
      <c r="C41" s="11" t="inlineStr">
        <is>
          <t>President &amp; Group CHRO at JBM Group</t>
        </is>
      </c>
      <c r="D41" s="12" t="inlineStr">
        <is>
          <t>Rajiv Sahdev</t>
        </is>
      </c>
      <c r="E41" s="12" t="inlineStr">
        <is>
          <t>JBM Auto Limited</t>
        </is>
      </c>
      <c r="F41" s="10" t="inlineStr">
        <is>
          <t>Gurugram, India</t>
        </is>
      </c>
    </row>
    <row r="42" hidden="1" outlineLevel="1">
      <c r="A42" s="7" t="n">
        <v>5</v>
      </c>
      <c r="B42" s="8" t="inlineStr">
        <is>
          <t>Krishan Kumar Gupta</t>
        </is>
      </c>
      <c r="C42" s="8" t="inlineStr">
        <is>
          <t>President &amp; CEO JBM ECOLIFE MOBILITY Pvt Ltd. &amp; COO - JBM Electric Vehicles Pvt Ltd.</t>
        </is>
      </c>
      <c r="D42" s="9" t="inlineStr">
        <is>
          <t>Krishan Kumar Gupta</t>
        </is>
      </c>
      <c r="E42" s="9" t="inlineStr">
        <is>
          <t>JBM Auto Limited</t>
        </is>
      </c>
      <c r="F42" s="7" t="inlineStr">
        <is>
          <t>Gurugram, India</t>
        </is>
      </c>
    </row>
    <row r="44" ht="28" customHeight="1">
      <c r="A44" s="4" t="inlineStr">
        <is>
          <t xml:space="preserve">  ▸ Minda Corporation Limited  (11 contacts)</t>
        </is>
      </c>
      <c r="B44" s="5" t="n"/>
      <c r="C44" s="5" t="n"/>
      <c r="D44" s="5" t="n"/>
      <c r="E44" s="5" t="n"/>
      <c r="F44" s="5" t="n"/>
    </row>
    <row r="45" hidden="1" outlineLevel="1">
      <c r="A45" s="6" t="inlineStr">
        <is>
          <t>#</t>
        </is>
      </c>
      <c r="B45" s="6" t="inlineStr">
        <is>
          <t>Name</t>
        </is>
      </c>
      <c r="C45" s="6" t="inlineStr">
        <is>
          <t>Position</t>
        </is>
      </c>
      <c r="D45" s="6" t="inlineStr">
        <is>
          <t>LinkedIn (Person)</t>
        </is>
      </c>
      <c r="E45" s="6" t="inlineStr">
        <is>
          <t>Company LinkedIn</t>
        </is>
      </c>
      <c r="F45" s="6" t="inlineStr">
        <is>
          <t>Location</t>
        </is>
      </c>
    </row>
    <row r="46" hidden="1" outlineLevel="1">
      <c r="A46" s="7" t="n">
        <v>1</v>
      </c>
      <c r="B46" s="8" t="inlineStr">
        <is>
          <t>Sumit Doseja</t>
        </is>
      </c>
      <c r="C46" s="8" t="inlineStr">
        <is>
          <t>CEO at Minda Corporation Limited</t>
        </is>
      </c>
      <c r="D46" s="9" t="inlineStr">
        <is>
          <t>Sumit Doseja</t>
        </is>
      </c>
      <c r="E46" s="9" t="inlineStr">
        <is>
          <t>Minda Corporation Limited</t>
        </is>
      </c>
      <c r="F46" s="7" t="inlineStr">
        <is>
          <t>Noida, India</t>
        </is>
      </c>
    </row>
    <row r="47" hidden="1" outlineLevel="1">
      <c r="A47" s="10" t="n">
        <v>2</v>
      </c>
      <c r="B47" s="11" t="inlineStr">
        <is>
          <t>Sunil Goel</t>
        </is>
      </c>
      <c r="C47" s="11" t="inlineStr">
        <is>
          <t>CEO at Minda Corporation Limited (AMD)</t>
        </is>
      </c>
      <c r="D47" s="12" t="inlineStr">
        <is>
          <t>Sunil Goel</t>
        </is>
      </c>
      <c r="E47" s="12" t="inlineStr">
        <is>
          <t>Minda Corporation Limited</t>
        </is>
      </c>
      <c r="F47" s="10" t="inlineStr">
        <is>
          <t>Noida, India</t>
        </is>
      </c>
    </row>
    <row r="48" hidden="1" outlineLevel="1">
      <c r="A48" s="7" t="n">
        <v>3</v>
      </c>
      <c r="B48" s="8" t="inlineStr">
        <is>
          <t>Dr. Suresh D</t>
        </is>
      </c>
      <c r="C48" s="8" t="inlineStr">
        <is>
          <t>Board Member: EV Products | Group CTO, Minda Corporation</t>
        </is>
      </c>
      <c r="D48" s="9" t="inlineStr">
        <is>
          <t>Dr. Suresh D</t>
        </is>
      </c>
      <c r="E48" s="9" t="inlineStr">
        <is>
          <t>Minda Corporation Limited</t>
        </is>
      </c>
      <c r="F48" s="7" t="inlineStr">
        <is>
          <t>Noida, India</t>
        </is>
      </c>
    </row>
    <row r="49" hidden="1" outlineLevel="1">
      <c r="A49" s="10" t="n">
        <v>4</v>
      </c>
      <c r="B49" s="11" t="inlineStr">
        <is>
          <t>Aakash Minda</t>
        </is>
      </c>
      <c r="C49" s="11" t="inlineStr">
        <is>
          <t>Executive Director, Minda Corporation Ltd.</t>
        </is>
      </c>
      <c r="D49" s="12" t="inlineStr">
        <is>
          <t>Aakash Minda</t>
        </is>
      </c>
      <c r="E49" s="12" t="inlineStr">
        <is>
          <t>Minda Corporation Limited</t>
        </is>
      </c>
      <c r="F49" s="10" t="inlineStr">
        <is>
          <t>Noida, India</t>
        </is>
      </c>
    </row>
    <row r="50" hidden="1" outlineLevel="1">
      <c r="A50" s="7" t="n">
        <v>5</v>
      </c>
      <c r="B50" s="8" t="inlineStr">
        <is>
          <t>Ashok Minda</t>
        </is>
      </c>
      <c r="C50" s="8" t="inlineStr">
        <is>
          <t>Chairman &amp; Group CEO, Spark Minda</t>
        </is>
      </c>
      <c r="D50" s="9" t="inlineStr">
        <is>
          <t>Ashok Minda</t>
        </is>
      </c>
      <c r="E50" s="9" t="inlineStr">
        <is>
          <t>Minda Corporation Limited</t>
        </is>
      </c>
      <c r="F50" s="7" t="inlineStr">
        <is>
          <t>Noida, India</t>
        </is>
      </c>
    </row>
    <row r="51" hidden="1" outlineLevel="1">
      <c r="A51" s="10" t="n">
        <v>6</v>
      </c>
      <c r="B51" s="11" t="inlineStr">
        <is>
          <t>Vaikuntam Srinivasan</t>
        </is>
      </c>
      <c r="C51" s="11" t="inlineStr">
        <is>
          <t>Chief Operating Officer, Minda Corporation Ltd.</t>
        </is>
      </c>
      <c r="D51" s="12" t="inlineStr">
        <is>
          <t>Vaikuntam Srinivasan</t>
        </is>
      </c>
      <c r="E51" s="12" t="inlineStr">
        <is>
          <t>Minda Corporation Limited</t>
        </is>
      </c>
      <c r="F51" s="10" t="inlineStr">
        <is>
          <t>Noida, India</t>
        </is>
      </c>
    </row>
    <row r="52" hidden="1" outlineLevel="1">
      <c r="A52" s="7" t="n">
        <v>7</v>
      </c>
      <c r="B52" s="8" t="inlineStr">
        <is>
          <t>Anup Gupta</t>
        </is>
      </c>
      <c r="C52" s="8" t="inlineStr">
        <is>
          <t>Chief Executive Officer - Spark Minda Group</t>
        </is>
      </c>
      <c r="D52" s="9" t="inlineStr">
        <is>
          <t>Anup Gupta</t>
        </is>
      </c>
      <c r="E52" s="9" t="inlineStr">
        <is>
          <t>Minda Corporation Limited</t>
        </is>
      </c>
      <c r="F52" s="7" t="inlineStr">
        <is>
          <t>Noida, India</t>
        </is>
      </c>
    </row>
    <row r="53" hidden="1" outlineLevel="1">
      <c r="A53" s="10" t="n">
        <v>8</v>
      </c>
      <c r="B53" s="11" t="inlineStr">
        <is>
          <t>Amit Kumar Srivastava</t>
        </is>
      </c>
      <c r="C53" s="11" t="inlineStr">
        <is>
          <t>Business Head - Vice President, Spark Minda (Green Mobility)</t>
        </is>
      </c>
      <c r="D53" s="12" t="inlineStr">
        <is>
          <t>Amit Kumar Srivastava</t>
        </is>
      </c>
      <c r="E53" s="12" t="inlineStr">
        <is>
          <t>Minda Corporation Limited</t>
        </is>
      </c>
      <c r="F53" s="10" t="inlineStr">
        <is>
          <t>Noida, India</t>
        </is>
      </c>
    </row>
    <row r="54" hidden="1" outlineLevel="1">
      <c r="A54" s="7" t="n">
        <v>9</v>
      </c>
      <c r="B54" s="8" t="inlineStr">
        <is>
          <t>Vinay Pawar</t>
        </is>
      </c>
      <c r="C54" s="8" t="inlineStr">
        <is>
          <t>Senior Vice President &amp; Business Head / CTO-related roles (Spark Minda)</t>
        </is>
      </c>
      <c r="D54" s="9" t="inlineStr">
        <is>
          <t>Vinay Pawar</t>
        </is>
      </c>
      <c r="E54" s="9" t="inlineStr">
        <is>
          <t>Minda Corporation Limited</t>
        </is>
      </c>
      <c r="F54" s="7" t="inlineStr">
        <is>
          <t>Noida, India</t>
        </is>
      </c>
    </row>
    <row r="55" hidden="1" outlineLevel="1">
      <c r="A55" s="10" t="n">
        <v>10</v>
      </c>
      <c r="B55" s="11" t="inlineStr">
        <is>
          <t>Deepak Arora</t>
        </is>
      </c>
      <c r="C55" s="11" t="inlineStr">
        <is>
          <t>CEO, Spark Minda (Ashok Minda Group)</t>
        </is>
      </c>
      <c r="D55" s="12" t="inlineStr">
        <is>
          <t>Deepak Arora</t>
        </is>
      </c>
      <c r="E55" s="12" t="inlineStr">
        <is>
          <t>Minda Corporation Limited</t>
        </is>
      </c>
      <c r="F55" s="10" t="inlineStr">
        <is>
          <t>Noida, India</t>
        </is>
      </c>
    </row>
    <row r="56" hidden="1" outlineLevel="1">
      <c r="A56" s="7" t="n">
        <v>11</v>
      </c>
      <c r="B56" s="8" t="inlineStr">
        <is>
          <t>Nirmal K Minda</t>
        </is>
      </c>
      <c r="C56" s="8" t="inlineStr">
        <is>
          <t>Chairman, Uno Minda Limited</t>
        </is>
      </c>
      <c r="D56" s="9" t="inlineStr">
        <is>
          <t>Nirmal K Minda</t>
        </is>
      </c>
      <c r="E56" s="9" t="inlineStr">
        <is>
          <t>Minda Corporation Limited</t>
        </is>
      </c>
      <c r="F56" s="7" t="inlineStr">
        <is>
          <t>Noida, India</t>
        </is>
      </c>
    </row>
    <row r="58" ht="28" customHeight="1">
      <c r="A58" s="4" t="inlineStr">
        <is>
          <t xml:space="preserve">  ▸ Ram Ratna Wires Limited  (9 contacts)</t>
        </is>
      </c>
      <c r="B58" s="5" t="n"/>
      <c r="C58" s="5" t="n"/>
      <c r="D58" s="5" t="n"/>
      <c r="E58" s="5" t="n"/>
      <c r="F58" s="5" t="n"/>
    </row>
    <row r="59" hidden="1" outlineLevel="1">
      <c r="A59" s="6" t="inlineStr">
        <is>
          <t>#</t>
        </is>
      </c>
      <c r="B59" s="6" t="inlineStr">
        <is>
          <t>Name</t>
        </is>
      </c>
      <c r="C59" s="6" t="inlineStr">
        <is>
          <t>Position</t>
        </is>
      </c>
      <c r="D59" s="6" t="inlineStr">
        <is>
          <t>LinkedIn (Person)</t>
        </is>
      </c>
      <c r="E59" s="6" t="inlineStr">
        <is>
          <t>Company LinkedIn</t>
        </is>
      </c>
      <c r="F59" s="6" t="inlineStr">
        <is>
          <t>Location</t>
        </is>
      </c>
    </row>
    <row r="60" hidden="1" outlineLevel="1">
      <c r="A60" s="7" t="n">
        <v>1</v>
      </c>
      <c r="B60" s="8" t="inlineStr">
        <is>
          <t>Sumeet Kabra</t>
        </is>
      </c>
      <c r="C60" s="8" t="inlineStr">
        <is>
          <t>Director (Ram Ratna Group / RR Global)</t>
        </is>
      </c>
      <c r="D60" s="9" t="inlineStr">
        <is>
          <t>Sumeet Kabra</t>
        </is>
      </c>
      <c r="E60" s="8" t="inlineStr">
        <is>
          <t>—</t>
        </is>
      </c>
      <c r="F60" s="7" t="inlineStr">
        <is>
          <t>Mumbai, India</t>
        </is>
      </c>
    </row>
    <row r="61" hidden="1" outlineLevel="1">
      <c r="A61" s="10" t="n">
        <v>2</v>
      </c>
      <c r="B61" s="11" t="inlineStr">
        <is>
          <t>Vivek Iyer</t>
        </is>
      </c>
      <c r="C61" s="11" t="inlineStr">
        <is>
          <t>Assistant Vice President (Ram Ratna Group)</t>
        </is>
      </c>
      <c r="D61" s="12" t="inlineStr">
        <is>
          <t>Vivek Iyer</t>
        </is>
      </c>
      <c r="E61" s="11" t="inlineStr">
        <is>
          <t>—</t>
        </is>
      </c>
      <c r="F61" s="10" t="inlineStr">
        <is>
          <t>Mumbai, India</t>
        </is>
      </c>
    </row>
    <row r="62" hidden="1" outlineLevel="1">
      <c r="A62" s="7" t="n">
        <v>3</v>
      </c>
      <c r="B62" s="8" t="inlineStr">
        <is>
          <t>Sudhir Masaji</t>
        </is>
      </c>
      <c r="C62" s="8" t="inlineStr">
        <is>
          <t>Director, Ram Ratna Group of Industries</t>
        </is>
      </c>
      <c r="D62" s="9" t="inlineStr">
        <is>
          <t>Sudhir Masaji</t>
        </is>
      </c>
      <c r="E62" s="8" t="inlineStr">
        <is>
          <t>—</t>
        </is>
      </c>
      <c r="F62" s="7" t="inlineStr">
        <is>
          <t>Mumbai, India</t>
        </is>
      </c>
    </row>
    <row r="63" hidden="1" outlineLevel="1">
      <c r="A63" s="10" t="n">
        <v>4</v>
      </c>
      <c r="B63" s="11" t="inlineStr">
        <is>
          <t>Subhashish Ghosh</t>
        </is>
      </c>
      <c r="C63" s="11" t="inlineStr">
        <is>
          <t>Manager - Maintenance, Ram Ratna Wires Ltd.</t>
        </is>
      </c>
      <c r="D63" s="12" t="inlineStr">
        <is>
          <t>Subhashish Ghosh</t>
        </is>
      </c>
      <c r="E63" s="11" t="inlineStr">
        <is>
          <t>—</t>
        </is>
      </c>
      <c r="F63" s="10" t="inlineStr">
        <is>
          <t>Mumbai, India</t>
        </is>
      </c>
    </row>
    <row r="64" hidden="1" outlineLevel="1">
      <c r="A64" s="7" t="n">
        <v>5</v>
      </c>
      <c r="B64" s="8" t="inlineStr">
        <is>
          <t>Nimesh Chandak</t>
        </is>
      </c>
      <c r="C64" s="8" t="inlineStr">
        <is>
          <t>Assistant Manager, Ram Ratna Wires Ltd.</t>
        </is>
      </c>
      <c r="D64" s="9" t="inlineStr">
        <is>
          <t>Nimesh Chandak</t>
        </is>
      </c>
      <c r="E64" s="8" t="inlineStr">
        <is>
          <t>—</t>
        </is>
      </c>
      <c r="F64" s="7" t="inlineStr">
        <is>
          <t>Mumbai, India</t>
        </is>
      </c>
    </row>
    <row r="65" hidden="1" outlineLevel="1">
      <c r="A65" s="10" t="n">
        <v>6</v>
      </c>
      <c r="B65" s="11" t="inlineStr">
        <is>
          <t>CA Divakar Yadav</t>
        </is>
      </c>
      <c r="C65" s="11" t="inlineStr">
        <is>
          <t>Deputy Manager, Ram Ratna Wires Ltd.</t>
        </is>
      </c>
      <c r="D65" s="12" t="inlineStr">
        <is>
          <t>CA Divakar Yadav</t>
        </is>
      </c>
      <c r="E65" s="11" t="inlineStr">
        <is>
          <t>—</t>
        </is>
      </c>
      <c r="F65" s="10" t="inlineStr">
        <is>
          <t>Mumbai, India</t>
        </is>
      </c>
    </row>
    <row r="66" hidden="1" outlineLevel="1">
      <c r="A66" s="7" t="n">
        <v>7</v>
      </c>
      <c r="B66" s="8" t="inlineStr">
        <is>
          <t>Sunil Kumar Singh</t>
        </is>
      </c>
      <c r="C66" s="8" t="inlineStr">
        <is>
          <t>AGM - Marketing, Ram Ratna Wires Ltd.</t>
        </is>
      </c>
      <c r="D66" s="9" t="inlineStr">
        <is>
          <t>Sunil Kumar Singh</t>
        </is>
      </c>
      <c r="E66" s="8" t="inlineStr">
        <is>
          <t>—</t>
        </is>
      </c>
      <c r="F66" s="7" t="inlineStr">
        <is>
          <t>Mumbai, India</t>
        </is>
      </c>
    </row>
    <row r="67" hidden="1" outlineLevel="1">
      <c r="A67" s="10" t="n">
        <v>8</v>
      </c>
      <c r="B67" s="11" t="inlineStr">
        <is>
          <t>Navin Sethia</t>
        </is>
      </c>
      <c r="C67" s="11" t="inlineStr">
        <is>
          <t>Assistant Manager - Marketing, Ram Ratna Wires Ltd.</t>
        </is>
      </c>
      <c r="D67" s="12" t="inlineStr">
        <is>
          <t>Navin Sethia</t>
        </is>
      </c>
      <c r="E67" s="11" t="inlineStr">
        <is>
          <t>—</t>
        </is>
      </c>
      <c r="F67" s="10" t="inlineStr">
        <is>
          <t>Mumbai, India</t>
        </is>
      </c>
    </row>
    <row r="68" hidden="1" outlineLevel="1">
      <c r="A68" s="7" t="n">
        <v>9</v>
      </c>
      <c r="B68" s="8" t="inlineStr">
        <is>
          <t>Dhawal Bhandari</t>
        </is>
      </c>
      <c r="C68" s="8" t="inlineStr">
        <is>
          <t>Maintenance Group Leader, Ram Ratna Wires Ltd.</t>
        </is>
      </c>
      <c r="D68" s="9" t="inlineStr">
        <is>
          <t>Dhawal Bhandari</t>
        </is>
      </c>
      <c r="E68" s="8" t="inlineStr">
        <is>
          <t>—</t>
        </is>
      </c>
      <c r="F68" s="7" t="inlineStr">
        <is>
          <t>Mumbai, India</t>
        </is>
      </c>
    </row>
    <row r="70" ht="28" customHeight="1">
      <c r="A70" s="4" t="inlineStr">
        <is>
          <t xml:space="preserve">  ▸ Rane Holdings Limited  (5 contacts)</t>
        </is>
      </c>
      <c r="B70" s="5" t="n"/>
      <c r="C70" s="5" t="n"/>
      <c r="D70" s="5" t="n"/>
      <c r="E70" s="5" t="n"/>
      <c r="F70" s="5" t="n"/>
    </row>
    <row r="71" hidden="1" outlineLevel="1">
      <c r="A71" s="6" t="inlineStr">
        <is>
          <t>#</t>
        </is>
      </c>
      <c r="B71" s="6" t="inlineStr">
        <is>
          <t>Name</t>
        </is>
      </c>
      <c r="C71" s="6" t="inlineStr">
        <is>
          <t>Position</t>
        </is>
      </c>
      <c r="D71" s="6" t="inlineStr">
        <is>
          <t>LinkedIn (Person)</t>
        </is>
      </c>
      <c r="E71" s="6" t="inlineStr">
        <is>
          <t>Company LinkedIn</t>
        </is>
      </c>
      <c r="F71" s="6" t="inlineStr">
        <is>
          <t>Location</t>
        </is>
      </c>
    </row>
    <row r="72" hidden="1" outlineLevel="1">
      <c r="A72" s="7" t="n">
        <v>1</v>
      </c>
      <c r="B72" s="8" t="inlineStr">
        <is>
          <t>Sridhar Subramanian</t>
        </is>
      </c>
      <c r="C72" s="8" t="inlineStr">
        <is>
          <t>Vice President, Rane Group</t>
        </is>
      </c>
      <c r="D72" s="9" t="inlineStr">
        <is>
          <t>Sridhar Subramanian</t>
        </is>
      </c>
      <c r="E72" s="9" t="inlineStr">
        <is>
          <t>Rane Holdings Limited</t>
        </is>
      </c>
      <c r="F72" s="7" t="inlineStr">
        <is>
          <t>Chennai, India</t>
        </is>
      </c>
    </row>
    <row r="73" hidden="1" outlineLevel="1">
      <c r="A73" s="10" t="n">
        <v>2</v>
      </c>
      <c r="B73" s="11" t="inlineStr">
        <is>
          <t>Rajesh Raghavan</t>
        </is>
      </c>
      <c r="C73" s="11" t="inlineStr">
        <is>
          <t>President - Corporate, Rane Holdings Ltd</t>
        </is>
      </c>
      <c r="D73" s="12" t="inlineStr">
        <is>
          <t>Rajesh Raghavan</t>
        </is>
      </c>
      <c r="E73" s="12" t="inlineStr">
        <is>
          <t>Rane Holdings Limited</t>
        </is>
      </c>
      <c r="F73" s="10" t="inlineStr">
        <is>
          <t>Chennai, India</t>
        </is>
      </c>
    </row>
    <row r="74" hidden="1" outlineLevel="1">
      <c r="A74" s="7" t="n">
        <v>3</v>
      </c>
      <c r="B74" s="8" t="inlineStr">
        <is>
          <t>Ramasubramanian Venkatraman</t>
        </is>
      </c>
      <c r="C74" s="8" t="inlineStr">
        <is>
          <t>SVP - HR, Rane Group</t>
        </is>
      </c>
      <c r="D74" s="9" t="inlineStr">
        <is>
          <t>Ramasubramanian Venkatraman</t>
        </is>
      </c>
      <c r="E74" s="9" t="inlineStr">
        <is>
          <t>Rane Holdings Limited</t>
        </is>
      </c>
      <c r="F74" s="7" t="inlineStr">
        <is>
          <t>Chennai, India</t>
        </is>
      </c>
    </row>
    <row r="75" hidden="1" outlineLevel="1">
      <c r="A75" s="10" t="n">
        <v>4</v>
      </c>
      <c r="B75" s="11" t="inlineStr">
        <is>
          <t>Murugan V P</t>
        </is>
      </c>
      <c r="C75" s="11" t="inlineStr">
        <is>
          <t>General Manager, Rane Group</t>
        </is>
      </c>
      <c r="D75" s="12" t="inlineStr">
        <is>
          <t>Murugan V P</t>
        </is>
      </c>
      <c r="E75" s="12" t="inlineStr">
        <is>
          <t>Rane Holdings Limited</t>
        </is>
      </c>
      <c r="F75" s="10" t="inlineStr">
        <is>
          <t>Chennai, India</t>
        </is>
      </c>
    </row>
    <row r="76" hidden="1" outlineLevel="1">
      <c r="A76" s="7" t="n">
        <v>5</v>
      </c>
      <c r="B76" s="8" t="inlineStr">
        <is>
          <t>Leslie C</t>
        </is>
      </c>
      <c r="C76" s="8" t="inlineStr">
        <is>
          <t>General Manager, Rane Holdings Limited</t>
        </is>
      </c>
      <c r="D76" s="9" t="inlineStr">
        <is>
          <t>Leslie C</t>
        </is>
      </c>
      <c r="E76" s="9" t="inlineStr">
        <is>
          <t>Rane Holdings Limited</t>
        </is>
      </c>
      <c r="F76" s="7" t="inlineStr">
        <is>
          <t>Chennai, India</t>
        </is>
      </c>
    </row>
    <row r="78" ht="28" customHeight="1">
      <c r="A78" s="4" t="inlineStr">
        <is>
          <t xml:space="preserve">  ▸ Century Plyboards (India) Limited  (9 contacts)</t>
        </is>
      </c>
      <c r="B78" s="5" t="n"/>
      <c r="C78" s="5" t="n"/>
      <c r="D78" s="5" t="n"/>
      <c r="E78" s="5" t="n"/>
      <c r="F78" s="5" t="n"/>
    </row>
    <row r="79" hidden="1" outlineLevel="1">
      <c r="A79" s="6" t="inlineStr">
        <is>
          <t>#</t>
        </is>
      </c>
      <c r="B79" s="6" t="inlineStr">
        <is>
          <t>Name</t>
        </is>
      </c>
      <c r="C79" s="6" t="inlineStr">
        <is>
          <t>Position</t>
        </is>
      </c>
      <c r="D79" s="6" t="inlineStr">
        <is>
          <t>LinkedIn (Person)</t>
        </is>
      </c>
      <c r="E79" s="6" t="inlineStr">
        <is>
          <t>Company LinkedIn</t>
        </is>
      </c>
      <c r="F79" s="6" t="inlineStr">
        <is>
          <t>Location</t>
        </is>
      </c>
    </row>
    <row r="80" hidden="1" outlineLevel="1">
      <c r="A80" s="7" t="n">
        <v>1</v>
      </c>
      <c r="B80" s="8" t="inlineStr">
        <is>
          <t>Arun Julasaria</t>
        </is>
      </c>
      <c r="C80" s="8" t="inlineStr">
        <is>
          <t>CFO at Century Plyboards (I) Limited</t>
        </is>
      </c>
      <c r="D80" s="9" t="inlineStr">
        <is>
          <t>Arun Julasaria</t>
        </is>
      </c>
      <c r="E80" s="9" t="inlineStr">
        <is>
          <t>Century Plyboards (India) Limited</t>
        </is>
      </c>
      <c r="F80" s="7" t="inlineStr">
        <is>
          <t>Kolkata, India</t>
        </is>
      </c>
    </row>
    <row r="81" hidden="1" outlineLevel="1">
      <c r="A81" s="10" t="n">
        <v>2</v>
      </c>
      <c r="B81" s="11" t="inlineStr">
        <is>
          <t>Sanjay Agarwal</t>
        </is>
      </c>
      <c r="C81" s="11" t="inlineStr">
        <is>
          <t>Managing Director (MD), Century Plyboards</t>
        </is>
      </c>
      <c r="D81" s="12" t="inlineStr">
        <is>
          <t>Sanjay Agarwal</t>
        </is>
      </c>
      <c r="E81" s="12" t="inlineStr">
        <is>
          <t>Century Plyboards (India) Limited</t>
        </is>
      </c>
      <c r="F81" s="10" t="inlineStr">
        <is>
          <t>Kolkata, India</t>
        </is>
      </c>
    </row>
    <row r="82" hidden="1" outlineLevel="1">
      <c r="A82" s="7" t="n">
        <v>3</v>
      </c>
      <c r="B82" s="8" t="inlineStr">
        <is>
          <t>Vishu Goel</t>
        </is>
      </c>
      <c r="C82" s="8" t="inlineStr">
        <is>
          <t>Associate Vice President - Sales, Marketing &amp; Commercial</t>
        </is>
      </c>
      <c r="D82" s="9" t="inlineStr">
        <is>
          <t>Vishu Goel</t>
        </is>
      </c>
      <c r="E82" s="9" t="inlineStr">
        <is>
          <t>Century Plyboards (India) Limited</t>
        </is>
      </c>
      <c r="F82" s="7" t="inlineStr">
        <is>
          <t>Kolkata, India</t>
        </is>
      </c>
    </row>
    <row r="83" hidden="1" outlineLevel="1">
      <c r="A83" s="10" t="n">
        <v>4</v>
      </c>
      <c r="B83" s="11" t="inlineStr">
        <is>
          <t>Rajesh Kumar Agarwal</t>
        </is>
      </c>
      <c r="C83" s="11" t="inlineStr">
        <is>
          <t>Executive Director at Century Plyboards (I) Limited</t>
        </is>
      </c>
      <c r="D83" s="12" t="inlineStr">
        <is>
          <t>Rajesh Kumar Agarwal</t>
        </is>
      </c>
      <c r="E83" s="12" t="inlineStr">
        <is>
          <t>Century Plyboards (India) Limited</t>
        </is>
      </c>
      <c r="F83" s="10" t="inlineStr">
        <is>
          <t>Kolkata, India</t>
        </is>
      </c>
    </row>
    <row r="84" hidden="1" outlineLevel="1">
      <c r="A84" s="7" t="n">
        <v>5</v>
      </c>
      <c r="B84" s="8" t="inlineStr">
        <is>
          <t>Sajjan Bhajanka</t>
        </is>
      </c>
      <c r="C84" s="8" t="inlineStr">
        <is>
          <t>Chairman at Century Plyboards (I) Limited</t>
        </is>
      </c>
      <c r="D84" s="9" t="inlineStr">
        <is>
          <t>Sajjan Bhajanka</t>
        </is>
      </c>
      <c r="E84" s="9" t="inlineStr">
        <is>
          <t>Century Plyboards (India) Limited</t>
        </is>
      </c>
      <c r="F84" s="7" t="inlineStr">
        <is>
          <t>Kolkata, India</t>
        </is>
      </c>
    </row>
    <row r="85" hidden="1" outlineLevel="1">
      <c r="A85" s="10" t="n">
        <v>6</v>
      </c>
      <c r="B85" s="11" t="inlineStr">
        <is>
          <t>Ashutosh Jaiswal</t>
        </is>
      </c>
      <c r="C85" s="11" t="inlineStr">
        <is>
          <t>CEO &amp; Director (Century Infra Ltd); President at Century Plyboards (I) Ltd</t>
        </is>
      </c>
      <c r="D85" s="12" t="inlineStr">
        <is>
          <t>Ashutosh Jaiswal</t>
        </is>
      </c>
      <c r="E85" s="12" t="inlineStr">
        <is>
          <t>Century Plyboards (India) Limited</t>
        </is>
      </c>
      <c r="F85" s="10" t="inlineStr">
        <is>
          <t>Kolkata, India</t>
        </is>
      </c>
    </row>
    <row r="86" hidden="1" outlineLevel="1">
      <c r="A86" s="7" t="n">
        <v>7</v>
      </c>
      <c r="B86" s="8" t="inlineStr">
        <is>
          <t>Dr. Sandip Pradhan</t>
        </is>
      </c>
      <c r="C86" s="8" t="inlineStr">
        <is>
          <t>CDIO / Vice President &amp; Chief Information Officer, CenturyPly</t>
        </is>
      </c>
      <c r="D86" s="9" t="inlineStr">
        <is>
          <t>Dr. Sandip Pradhan</t>
        </is>
      </c>
      <c r="E86" s="9" t="inlineStr">
        <is>
          <t>Century Plyboards (India) Limited</t>
        </is>
      </c>
      <c r="F86" s="7" t="inlineStr">
        <is>
          <t>Kolkata, India</t>
        </is>
      </c>
    </row>
    <row r="87" hidden="1" outlineLevel="1">
      <c r="A87" s="10" t="n">
        <v>8</v>
      </c>
      <c r="B87" s="11" t="inlineStr">
        <is>
          <t>Prem Kumar</t>
        </is>
      </c>
      <c r="C87" s="11" t="inlineStr">
        <is>
          <t>Joint Managing Director at Century Plyboards (I) Limited</t>
        </is>
      </c>
      <c r="D87" s="12" t="inlineStr">
        <is>
          <t>Prem Kumar</t>
        </is>
      </c>
      <c r="E87" s="12" t="inlineStr">
        <is>
          <t>Century Plyboards (India) Limited</t>
        </is>
      </c>
      <c r="F87" s="10" t="inlineStr">
        <is>
          <t>Kolkata, India</t>
        </is>
      </c>
    </row>
    <row r="88" hidden="1" outlineLevel="1">
      <c r="A88" s="7" t="n">
        <v>9</v>
      </c>
      <c r="B88" s="8" t="inlineStr">
        <is>
          <t>Pradeep Kumar Verma</t>
        </is>
      </c>
      <c r="C88" s="8" t="inlineStr">
        <is>
          <t>Vice President at Century Plyboards India Limited</t>
        </is>
      </c>
      <c r="D88" s="9" t="inlineStr">
        <is>
          <t>Pradeep Kumar Verma</t>
        </is>
      </c>
      <c r="E88" s="9" t="inlineStr">
        <is>
          <t>Century Plyboards (India) Limited</t>
        </is>
      </c>
      <c r="F88" s="7" t="inlineStr">
        <is>
          <t>Kolkata, India</t>
        </is>
      </c>
    </row>
    <row r="90" ht="28" customHeight="1">
      <c r="A90" s="4" t="inlineStr">
        <is>
          <t xml:space="preserve">  ▸ Wheels India Limited  (10 contacts)</t>
        </is>
      </c>
      <c r="B90" s="5" t="n"/>
      <c r="C90" s="5" t="n"/>
      <c r="D90" s="5" t="n"/>
      <c r="E90" s="5" t="n"/>
      <c r="F90" s="5" t="n"/>
    </row>
    <row r="91" hidden="1" outlineLevel="1">
      <c r="A91" s="6" t="inlineStr">
        <is>
          <t>#</t>
        </is>
      </c>
      <c r="B91" s="6" t="inlineStr">
        <is>
          <t>Name</t>
        </is>
      </c>
      <c r="C91" s="6" t="inlineStr">
        <is>
          <t>Position</t>
        </is>
      </c>
      <c r="D91" s="6" t="inlineStr">
        <is>
          <t>LinkedIn (Person)</t>
        </is>
      </c>
      <c r="E91" s="6" t="inlineStr">
        <is>
          <t>Company LinkedIn</t>
        </is>
      </c>
      <c r="F91" s="6" t="inlineStr">
        <is>
          <t>Location</t>
        </is>
      </c>
    </row>
    <row r="92" hidden="1" outlineLevel="1">
      <c r="A92" s="7" t="n">
        <v>1</v>
      </c>
      <c r="B92" s="8" t="inlineStr">
        <is>
          <t>Srivats Ram</t>
        </is>
      </c>
      <c r="C92" s="8" t="inlineStr">
        <is>
          <t>Chairman &amp; Managing Director</t>
        </is>
      </c>
      <c r="D92" s="9" t="inlineStr">
        <is>
          <t>Srivats Ram</t>
        </is>
      </c>
      <c r="E92" s="9" t="inlineStr">
        <is>
          <t>Wheels India Limited</t>
        </is>
      </c>
      <c r="F92" s="7" t="inlineStr">
        <is>
          <t>Chennai, India</t>
        </is>
      </c>
    </row>
    <row r="93" hidden="1" outlineLevel="1">
      <c r="A93" s="10" t="n">
        <v>2</v>
      </c>
      <c r="B93" s="11" t="inlineStr">
        <is>
          <t>Sanjay Pande</t>
        </is>
      </c>
      <c r="C93" s="11" t="inlineStr">
        <is>
          <t>Sr Vice President (Marketing)</t>
        </is>
      </c>
      <c r="D93" s="12" t="inlineStr">
        <is>
          <t>Sanjay Pande</t>
        </is>
      </c>
      <c r="E93" s="12" t="inlineStr">
        <is>
          <t>Wheels India Limited</t>
        </is>
      </c>
      <c r="F93" s="10" t="inlineStr">
        <is>
          <t>Chennai, India</t>
        </is>
      </c>
    </row>
    <row r="94" hidden="1" outlineLevel="1">
      <c r="A94" s="7" t="n">
        <v>3</v>
      </c>
      <c r="B94" s="8" t="inlineStr">
        <is>
          <t>Rajasekar Lakshmanan</t>
        </is>
      </c>
      <c r="C94" s="8" t="inlineStr">
        <is>
          <t>Vice President</t>
        </is>
      </c>
      <c r="D94" s="9" t="inlineStr">
        <is>
          <t>Rajasekar Lakshmanan</t>
        </is>
      </c>
      <c r="E94" s="9" t="inlineStr">
        <is>
          <t>Wheels India Limited</t>
        </is>
      </c>
      <c r="F94" s="7" t="inlineStr">
        <is>
          <t>Chennai, India</t>
        </is>
      </c>
    </row>
    <row r="95" hidden="1" outlineLevel="1">
      <c r="A95" s="10" t="n">
        <v>4</v>
      </c>
      <c r="B95" s="11" t="inlineStr">
        <is>
          <t>Diwakar Balashankar</t>
        </is>
      </c>
      <c r="C95" s="11" t="inlineStr">
        <is>
          <t>VP at Wheels India Limited</t>
        </is>
      </c>
      <c r="D95" s="12" t="inlineStr">
        <is>
          <t>Diwakar Balashankar</t>
        </is>
      </c>
      <c r="E95" s="12" t="inlineStr">
        <is>
          <t>Wheels India Limited</t>
        </is>
      </c>
      <c r="F95" s="10" t="inlineStr">
        <is>
          <t>Chennai, India</t>
        </is>
      </c>
    </row>
    <row r="96" hidden="1" outlineLevel="1">
      <c r="A96" s="7" t="n">
        <v>5</v>
      </c>
      <c r="B96" s="8" t="inlineStr">
        <is>
          <t>Sundar M</t>
        </is>
      </c>
      <c r="C96" s="8" t="inlineStr">
        <is>
          <t>Vice President Operations at Wheels India Limited</t>
        </is>
      </c>
      <c r="D96" s="9" t="inlineStr">
        <is>
          <t>Sundar M</t>
        </is>
      </c>
      <c r="E96" s="9" t="inlineStr">
        <is>
          <t>Wheels India Limited</t>
        </is>
      </c>
      <c r="F96" s="7" t="inlineStr">
        <is>
          <t>Chennai, India</t>
        </is>
      </c>
    </row>
    <row r="97" hidden="1" outlineLevel="1">
      <c r="A97" s="10" t="n">
        <v>6</v>
      </c>
      <c r="B97" s="11" t="inlineStr">
        <is>
          <t>V. Balakrishnan</t>
        </is>
      </c>
      <c r="C97" s="11" t="inlineStr">
        <is>
          <t>General Manager at Wheels India Limited</t>
        </is>
      </c>
      <c r="D97" s="12" t="inlineStr">
        <is>
          <t>V. Balakrishnan</t>
        </is>
      </c>
      <c r="E97" s="12" t="inlineStr">
        <is>
          <t>Wheels India Limited</t>
        </is>
      </c>
      <c r="F97" s="10" t="inlineStr">
        <is>
          <t>Chennai, India</t>
        </is>
      </c>
    </row>
    <row r="98" hidden="1" outlineLevel="1">
      <c r="A98" s="7" t="n">
        <v>7</v>
      </c>
      <c r="B98" s="8" t="inlineStr">
        <is>
          <t>Natarajan Ponnusamy</t>
        </is>
      </c>
      <c r="C98" s="8" t="inlineStr">
        <is>
          <t>Vice President at Wheels India Limited</t>
        </is>
      </c>
      <c r="D98" s="9" t="inlineStr">
        <is>
          <t>Natarajan Ponnusamy</t>
        </is>
      </c>
      <c r="E98" s="9" t="inlineStr">
        <is>
          <t>Wheels India Limited</t>
        </is>
      </c>
      <c r="F98" s="7" t="inlineStr">
        <is>
          <t>Chennai, India</t>
        </is>
      </c>
    </row>
    <row r="99" hidden="1" outlineLevel="1">
      <c r="A99" s="10" t="n">
        <v>8</v>
      </c>
      <c r="B99" s="11" t="inlineStr">
        <is>
          <t>Shankar M.</t>
        </is>
      </c>
      <c r="C99" s="11" t="inlineStr">
        <is>
          <t>Business Head | Strategy | P&amp;L Management (Wheels India Limited)</t>
        </is>
      </c>
      <c r="D99" s="12" t="inlineStr">
        <is>
          <t>Shankar M.</t>
        </is>
      </c>
      <c r="E99" s="12" t="inlineStr">
        <is>
          <t>Wheels India Limited</t>
        </is>
      </c>
      <c r="F99" s="10" t="inlineStr">
        <is>
          <t>Chennai, India</t>
        </is>
      </c>
    </row>
    <row r="100" hidden="1" outlineLevel="1">
      <c r="A100" s="7" t="n">
        <v>9</v>
      </c>
      <c r="B100" s="8" t="inlineStr">
        <is>
          <t>Ravi Shankar</t>
        </is>
      </c>
      <c r="C100" s="8" t="inlineStr">
        <is>
          <t>Sr. GM (Purchase), Wheels India Ltd</t>
        </is>
      </c>
      <c r="D100" s="9" t="inlineStr">
        <is>
          <t>Ravi Shankar</t>
        </is>
      </c>
      <c r="E100" s="9" t="inlineStr">
        <is>
          <t>Wheels India Limited</t>
        </is>
      </c>
      <c r="F100" s="7" t="inlineStr">
        <is>
          <t>Chennai, India</t>
        </is>
      </c>
    </row>
    <row r="101" hidden="1" outlineLevel="1">
      <c r="A101" s="10" t="n">
        <v>10</v>
      </c>
      <c r="B101" s="11" t="inlineStr">
        <is>
          <t>Shankar Velayutham</t>
        </is>
      </c>
      <c r="C101" s="11" t="inlineStr">
        <is>
          <t>HR @ Wheels India Limited</t>
        </is>
      </c>
      <c r="D101" s="12" t="inlineStr">
        <is>
          <t>Shankar Velayutham</t>
        </is>
      </c>
      <c r="E101" s="12" t="inlineStr">
        <is>
          <t>Wheels India Limited</t>
        </is>
      </c>
      <c r="F101" s="10" t="inlineStr">
        <is>
          <t>Chennai, India</t>
        </is>
      </c>
    </row>
    <row r="103" ht="28" customHeight="1">
      <c r="A103" s="4" t="inlineStr">
        <is>
          <t xml:space="preserve">  ▸ Steel Strips Wheels Limited  (5 contacts)</t>
        </is>
      </c>
      <c r="B103" s="5" t="n"/>
      <c r="C103" s="5" t="n"/>
      <c r="D103" s="5" t="n"/>
      <c r="E103" s="5" t="n"/>
      <c r="F103" s="5" t="n"/>
    </row>
    <row r="104" hidden="1" outlineLevel="1">
      <c r="A104" s="6" t="inlineStr">
        <is>
          <t>#</t>
        </is>
      </c>
      <c r="B104" s="6" t="inlineStr">
        <is>
          <t>Name</t>
        </is>
      </c>
      <c r="C104" s="6" t="inlineStr">
        <is>
          <t>Position</t>
        </is>
      </c>
      <c r="D104" s="6" t="inlineStr">
        <is>
          <t>LinkedIn (Person)</t>
        </is>
      </c>
      <c r="E104" s="6" t="inlineStr">
        <is>
          <t>Company LinkedIn</t>
        </is>
      </c>
      <c r="F104" s="6" t="inlineStr">
        <is>
          <t>Location</t>
        </is>
      </c>
    </row>
    <row r="105" hidden="1" outlineLevel="1">
      <c r="A105" s="7" t="n">
        <v>1</v>
      </c>
      <c r="B105" s="8" t="inlineStr">
        <is>
          <t>Mohan Joshi</t>
        </is>
      </c>
      <c r="C105" s="8" t="inlineStr">
        <is>
          <t>Deputy Managing Director</t>
        </is>
      </c>
      <c r="D105" s="9" t="inlineStr">
        <is>
          <t>Mohan Joshi</t>
        </is>
      </c>
      <c r="E105" s="9" t="inlineStr">
        <is>
          <t>Steel Strips Wheels Limited</t>
        </is>
      </c>
      <c r="F105" s="7" t="inlineStr">
        <is>
          <t>Chandigarh, India</t>
        </is>
      </c>
    </row>
    <row r="106" hidden="1" outlineLevel="1">
      <c r="A106" s="10" t="n">
        <v>2</v>
      </c>
      <c r="B106" s="11" t="inlineStr">
        <is>
          <t>Sanjay Singh</t>
        </is>
      </c>
      <c r="C106" s="11" t="inlineStr">
        <is>
          <t>Vice President - Finance &amp; Accounts</t>
        </is>
      </c>
      <c r="D106" s="12" t="inlineStr">
        <is>
          <t>Sanjay Singh</t>
        </is>
      </c>
      <c r="E106" s="12" t="inlineStr">
        <is>
          <t>Steel Strips Wheels Limited</t>
        </is>
      </c>
      <c r="F106" s="10" t="inlineStr">
        <is>
          <t>Chandigarh, India</t>
        </is>
      </c>
    </row>
    <row r="107" hidden="1" outlineLevel="1">
      <c r="A107" s="7" t="n">
        <v>3</v>
      </c>
      <c r="B107" s="8" t="inlineStr">
        <is>
          <t>Sushil Gupta</t>
        </is>
      </c>
      <c r="C107" s="8" t="inlineStr">
        <is>
          <t>Sr. Executive Director</t>
        </is>
      </c>
      <c r="D107" s="9" t="inlineStr">
        <is>
          <t>Sushil Gupta</t>
        </is>
      </c>
      <c r="E107" s="9" t="inlineStr">
        <is>
          <t>Steel Strips Wheels Limited</t>
        </is>
      </c>
      <c r="F107" s="7" t="inlineStr">
        <is>
          <t>Chandigarh, India</t>
        </is>
      </c>
    </row>
    <row r="108" hidden="1" outlineLevel="1">
      <c r="A108" s="10" t="n">
        <v>4</v>
      </c>
      <c r="B108" s="11" t="inlineStr">
        <is>
          <t>Rajesh Trikha</t>
        </is>
      </c>
      <c r="C108" s="11" t="inlineStr">
        <is>
          <t>Sr. Executive Director</t>
        </is>
      </c>
      <c r="D108" s="12" t="inlineStr">
        <is>
          <t>Rajesh Trikha</t>
        </is>
      </c>
      <c r="E108" s="12" t="inlineStr">
        <is>
          <t>Steel Strips Wheels Limited</t>
        </is>
      </c>
      <c r="F108" s="10" t="inlineStr">
        <is>
          <t>Chandigarh, India</t>
        </is>
      </c>
    </row>
    <row r="109" hidden="1" outlineLevel="1">
      <c r="A109" s="7" t="n">
        <v>5</v>
      </c>
      <c r="B109" s="8" t="inlineStr">
        <is>
          <t>Rajith M K</t>
        </is>
      </c>
      <c r="C109" s="8" t="inlineStr">
        <is>
          <t>Vice President Manufacturing</t>
        </is>
      </c>
      <c r="D109" s="9" t="inlineStr">
        <is>
          <t>Rajith M K</t>
        </is>
      </c>
      <c r="E109" s="9" t="inlineStr">
        <is>
          <t>Steel Strips Wheels Limited</t>
        </is>
      </c>
      <c r="F109" s="7" t="inlineStr">
        <is>
          <t>Chandigarh, India</t>
        </is>
      </c>
    </row>
  </sheetData>
  <mergeCells count="10">
    <mergeCell ref="A78:F78"/>
    <mergeCell ref="A90:F90"/>
    <mergeCell ref="A36:F36"/>
    <mergeCell ref="A44:F44"/>
    <mergeCell ref="A1:F1"/>
    <mergeCell ref="A103:F103"/>
    <mergeCell ref="A70:F70"/>
    <mergeCell ref="A58:F58"/>
    <mergeCell ref="A12:F12"/>
    <mergeCell ref="A20:F20"/>
  </mergeCells>
  <hyperlinks>
    <hyperlink xmlns:r="http://schemas.openxmlformats.org/officeDocument/2006/relationships" ref="D3" r:id="rId1"/>
    <hyperlink xmlns:r="http://schemas.openxmlformats.org/officeDocument/2006/relationships" ref="E3" r:id="rId2"/>
    <hyperlink xmlns:r="http://schemas.openxmlformats.org/officeDocument/2006/relationships" ref="D4" r:id="rId3"/>
    <hyperlink xmlns:r="http://schemas.openxmlformats.org/officeDocument/2006/relationships" ref="E4" r:id="rId4"/>
    <hyperlink xmlns:r="http://schemas.openxmlformats.org/officeDocument/2006/relationships" ref="D5" r:id="rId5"/>
    <hyperlink xmlns:r="http://schemas.openxmlformats.org/officeDocument/2006/relationships" ref="E5" r:id="rId6"/>
    <hyperlink xmlns:r="http://schemas.openxmlformats.org/officeDocument/2006/relationships" ref="D6" r:id="rId7"/>
    <hyperlink xmlns:r="http://schemas.openxmlformats.org/officeDocument/2006/relationships" ref="E6" r:id="rId8"/>
    <hyperlink xmlns:r="http://schemas.openxmlformats.org/officeDocument/2006/relationships" ref="D7" r:id="rId9"/>
    <hyperlink xmlns:r="http://schemas.openxmlformats.org/officeDocument/2006/relationships" ref="E7" r:id="rId10"/>
    <hyperlink xmlns:r="http://schemas.openxmlformats.org/officeDocument/2006/relationships" ref="D8" r:id="rId11"/>
    <hyperlink xmlns:r="http://schemas.openxmlformats.org/officeDocument/2006/relationships" ref="E8" r:id="rId12"/>
    <hyperlink xmlns:r="http://schemas.openxmlformats.org/officeDocument/2006/relationships" ref="D9" r:id="rId13"/>
    <hyperlink xmlns:r="http://schemas.openxmlformats.org/officeDocument/2006/relationships" ref="E9" r:id="rId14"/>
    <hyperlink xmlns:r="http://schemas.openxmlformats.org/officeDocument/2006/relationships" ref="D10" r:id="rId15"/>
    <hyperlink xmlns:r="http://schemas.openxmlformats.org/officeDocument/2006/relationships" ref="E10" r:id="rId16"/>
    <hyperlink xmlns:r="http://schemas.openxmlformats.org/officeDocument/2006/relationships" ref="D14" r:id="rId17"/>
    <hyperlink xmlns:r="http://schemas.openxmlformats.org/officeDocument/2006/relationships" ref="E14" r:id="rId18"/>
    <hyperlink xmlns:r="http://schemas.openxmlformats.org/officeDocument/2006/relationships" ref="D15" r:id="rId19"/>
    <hyperlink xmlns:r="http://schemas.openxmlformats.org/officeDocument/2006/relationships" ref="E15" r:id="rId20"/>
    <hyperlink xmlns:r="http://schemas.openxmlformats.org/officeDocument/2006/relationships" ref="D16" r:id="rId21"/>
    <hyperlink xmlns:r="http://schemas.openxmlformats.org/officeDocument/2006/relationships" ref="E16" r:id="rId22"/>
    <hyperlink xmlns:r="http://schemas.openxmlformats.org/officeDocument/2006/relationships" ref="D17" r:id="rId23"/>
    <hyperlink xmlns:r="http://schemas.openxmlformats.org/officeDocument/2006/relationships" ref="E17" r:id="rId24"/>
    <hyperlink xmlns:r="http://schemas.openxmlformats.org/officeDocument/2006/relationships" ref="D18" r:id="rId25"/>
    <hyperlink xmlns:r="http://schemas.openxmlformats.org/officeDocument/2006/relationships" ref="E18" r:id="rId26"/>
    <hyperlink xmlns:r="http://schemas.openxmlformats.org/officeDocument/2006/relationships" ref="D22" r:id="rId27"/>
    <hyperlink xmlns:r="http://schemas.openxmlformats.org/officeDocument/2006/relationships" ref="E22" r:id="rId28"/>
    <hyperlink xmlns:r="http://schemas.openxmlformats.org/officeDocument/2006/relationships" ref="D23" r:id="rId29"/>
    <hyperlink xmlns:r="http://schemas.openxmlformats.org/officeDocument/2006/relationships" ref="E23" r:id="rId30"/>
    <hyperlink xmlns:r="http://schemas.openxmlformats.org/officeDocument/2006/relationships" ref="D24" r:id="rId31"/>
    <hyperlink xmlns:r="http://schemas.openxmlformats.org/officeDocument/2006/relationships" ref="E24" r:id="rId32"/>
    <hyperlink xmlns:r="http://schemas.openxmlformats.org/officeDocument/2006/relationships" ref="D25" r:id="rId33"/>
    <hyperlink xmlns:r="http://schemas.openxmlformats.org/officeDocument/2006/relationships" ref="E25" r:id="rId34"/>
    <hyperlink xmlns:r="http://schemas.openxmlformats.org/officeDocument/2006/relationships" ref="D26" r:id="rId35"/>
    <hyperlink xmlns:r="http://schemas.openxmlformats.org/officeDocument/2006/relationships" ref="E26" r:id="rId36"/>
    <hyperlink xmlns:r="http://schemas.openxmlformats.org/officeDocument/2006/relationships" ref="D27" r:id="rId37"/>
    <hyperlink xmlns:r="http://schemas.openxmlformats.org/officeDocument/2006/relationships" ref="E27" r:id="rId38"/>
    <hyperlink xmlns:r="http://schemas.openxmlformats.org/officeDocument/2006/relationships" ref="D28" r:id="rId39"/>
    <hyperlink xmlns:r="http://schemas.openxmlformats.org/officeDocument/2006/relationships" ref="E28" r:id="rId40"/>
    <hyperlink xmlns:r="http://schemas.openxmlformats.org/officeDocument/2006/relationships" ref="D29" r:id="rId41"/>
    <hyperlink xmlns:r="http://schemas.openxmlformats.org/officeDocument/2006/relationships" ref="E29" r:id="rId42"/>
    <hyperlink xmlns:r="http://schemas.openxmlformats.org/officeDocument/2006/relationships" ref="D30" r:id="rId43"/>
    <hyperlink xmlns:r="http://schemas.openxmlformats.org/officeDocument/2006/relationships" ref="E30" r:id="rId44"/>
    <hyperlink xmlns:r="http://schemas.openxmlformats.org/officeDocument/2006/relationships" ref="D31" r:id="rId45"/>
    <hyperlink xmlns:r="http://schemas.openxmlformats.org/officeDocument/2006/relationships" ref="E31" r:id="rId46"/>
    <hyperlink xmlns:r="http://schemas.openxmlformats.org/officeDocument/2006/relationships" ref="D32" r:id="rId47"/>
    <hyperlink xmlns:r="http://schemas.openxmlformats.org/officeDocument/2006/relationships" ref="E32" r:id="rId48"/>
    <hyperlink xmlns:r="http://schemas.openxmlformats.org/officeDocument/2006/relationships" ref="D33" r:id="rId49"/>
    <hyperlink xmlns:r="http://schemas.openxmlformats.org/officeDocument/2006/relationships" ref="E33" r:id="rId50"/>
    <hyperlink xmlns:r="http://schemas.openxmlformats.org/officeDocument/2006/relationships" ref="D34" r:id="rId51"/>
    <hyperlink xmlns:r="http://schemas.openxmlformats.org/officeDocument/2006/relationships" ref="E34" r:id="rId52"/>
    <hyperlink xmlns:r="http://schemas.openxmlformats.org/officeDocument/2006/relationships" ref="D38" r:id="rId53"/>
    <hyperlink xmlns:r="http://schemas.openxmlformats.org/officeDocument/2006/relationships" ref="E38" r:id="rId54"/>
    <hyperlink xmlns:r="http://schemas.openxmlformats.org/officeDocument/2006/relationships" ref="D39" r:id="rId55"/>
    <hyperlink xmlns:r="http://schemas.openxmlformats.org/officeDocument/2006/relationships" ref="E39" r:id="rId56"/>
    <hyperlink xmlns:r="http://schemas.openxmlformats.org/officeDocument/2006/relationships" ref="D40" r:id="rId57"/>
    <hyperlink xmlns:r="http://schemas.openxmlformats.org/officeDocument/2006/relationships" ref="E40" r:id="rId58"/>
    <hyperlink xmlns:r="http://schemas.openxmlformats.org/officeDocument/2006/relationships" ref="D41" r:id="rId59"/>
    <hyperlink xmlns:r="http://schemas.openxmlformats.org/officeDocument/2006/relationships" ref="E41" r:id="rId60"/>
    <hyperlink xmlns:r="http://schemas.openxmlformats.org/officeDocument/2006/relationships" ref="D42" r:id="rId61"/>
    <hyperlink xmlns:r="http://schemas.openxmlformats.org/officeDocument/2006/relationships" ref="E42" r:id="rId62"/>
    <hyperlink xmlns:r="http://schemas.openxmlformats.org/officeDocument/2006/relationships" ref="D46" r:id="rId63"/>
    <hyperlink xmlns:r="http://schemas.openxmlformats.org/officeDocument/2006/relationships" ref="E46" r:id="rId64"/>
    <hyperlink xmlns:r="http://schemas.openxmlformats.org/officeDocument/2006/relationships" ref="D47" r:id="rId65"/>
    <hyperlink xmlns:r="http://schemas.openxmlformats.org/officeDocument/2006/relationships" ref="E47" r:id="rId66"/>
    <hyperlink xmlns:r="http://schemas.openxmlformats.org/officeDocument/2006/relationships" ref="D48" r:id="rId67"/>
    <hyperlink xmlns:r="http://schemas.openxmlformats.org/officeDocument/2006/relationships" ref="E48" r:id="rId68"/>
    <hyperlink xmlns:r="http://schemas.openxmlformats.org/officeDocument/2006/relationships" ref="D49" r:id="rId69"/>
    <hyperlink xmlns:r="http://schemas.openxmlformats.org/officeDocument/2006/relationships" ref="E49" r:id="rId70"/>
    <hyperlink xmlns:r="http://schemas.openxmlformats.org/officeDocument/2006/relationships" ref="D50" r:id="rId71"/>
    <hyperlink xmlns:r="http://schemas.openxmlformats.org/officeDocument/2006/relationships" ref="E50" r:id="rId72"/>
    <hyperlink xmlns:r="http://schemas.openxmlformats.org/officeDocument/2006/relationships" ref="D51" r:id="rId73"/>
    <hyperlink xmlns:r="http://schemas.openxmlformats.org/officeDocument/2006/relationships" ref="E51" r:id="rId74"/>
    <hyperlink xmlns:r="http://schemas.openxmlformats.org/officeDocument/2006/relationships" ref="D52" r:id="rId75"/>
    <hyperlink xmlns:r="http://schemas.openxmlformats.org/officeDocument/2006/relationships" ref="E52" r:id="rId76"/>
    <hyperlink xmlns:r="http://schemas.openxmlformats.org/officeDocument/2006/relationships" ref="D53" r:id="rId77"/>
    <hyperlink xmlns:r="http://schemas.openxmlformats.org/officeDocument/2006/relationships" ref="E53" r:id="rId78"/>
    <hyperlink xmlns:r="http://schemas.openxmlformats.org/officeDocument/2006/relationships" ref="D54" r:id="rId79"/>
    <hyperlink xmlns:r="http://schemas.openxmlformats.org/officeDocument/2006/relationships" ref="E54" r:id="rId80"/>
    <hyperlink xmlns:r="http://schemas.openxmlformats.org/officeDocument/2006/relationships" ref="D55" r:id="rId81"/>
    <hyperlink xmlns:r="http://schemas.openxmlformats.org/officeDocument/2006/relationships" ref="E55" r:id="rId82"/>
    <hyperlink xmlns:r="http://schemas.openxmlformats.org/officeDocument/2006/relationships" ref="D56" r:id="rId83"/>
    <hyperlink xmlns:r="http://schemas.openxmlformats.org/officeDocument/2006/relationships" ref="E56" r:id="rId84"/>
    <hyperlink xmlns:r="http://schemas.openxmlformats.org/officeDocument/2006/relationships" ref="D60" r:id="rId85"/>
    <hyperlink xmlns:r="http://schemas.openxmlformats.org/officeDocument/2006/relationships" ref="D61" r:id="rId86"/>
    <hyperlink xmlns:r="http://schemas.openxmlformats.org/officeDocument/2006/relationships" ref="D62" r:id="rId87"/>
    <hyperlink xmlns:r="http://schemas.openxmlformats.org/officeDocument/2006/relationships" ref="D63" r:id="rId88"/>
    <hyperlink xmlns:r="http://schemas.openxmlformats.org/officeDocument/2006/relationships" ref="D64" r:id="rId89"/>
    <hyperlink xmlns:r="http://schemas.openxmlformats.org/officeDocument/2006/relationships" ref="D65" r:id="rId90"/>
    <hyperlink xmlns:r="http://schemas.openxmlformats.org/officeDocument/2006/relationships" ref="D66" r:id="rId91"/>
    <hyperlink xmlns:r="http://schemas.openxmlformats.org/officeDocument/2006/relationships" ref="D67" r:id="rId92"/>
    <hyperlink xmlns:r="http://schemas.openxmlformats.org/officeDocument/2006/relationships" ref="D68" r:id="rId93"/>
    <hyperlink xmlns:r="http://schemas.openxmlformats.org/officeDocument/2006/relationships" ref="D72" r:id="rId94"/>
    <hyperlink xmlns:r="http://schemas.openxmlformats.org/officeDocument/2006/relationships" ref="E72" r:id="rId95"/>
    <hyperlink xmlns:r="http://schemas.openxmlformats.org/officeDocument/2006/relationships" ref="D73" r:id="rId96"/>
    <hyperlink xmlns:r="http://schemas.openxmlformats.org/officeDocument/2006/relationships" ref="E73" r:id="rId97"/>
    <hyperlink xmlns:r="http://schemas.openxmlformats.org/officeDocument/2006/relationships" ref="D74" r:id="rId98"/>
    <hyperlink xmlns:r="http://schemas.openxmlformats.org/officeDocument/2006/relationships" ref="E74" r:id="rId99"/>
    <hyperlink xmlns:r="http://schemas.openxmlformats.org/officeDocument/2006/relationships" ref="D75" r:id="rId100"/>
    <hyperlink xmlns:r="http://schemas.openxmlformats.org/officeDocument/2006/relationships" ref="E75" r:id="rId101"/>
    <hyperlink xmlns:r="http://schemas.openxmlformats.org/officeDocument/2006/relationships" ref="D76" r:id="rId102"/>
    <hyperlink xmlns:r="http://schemas.openxmlformats.org/officeDocument/2006/relationships" ref="E76" r:id="rId103"/>
    <hyperlink xmlns:r="http://schemas.openxmlformats.org/officeDocument/2006/relationships" ref="D80" r:id="rId104"/>
    <hyperlink xmlns:r="http://schemas.openxmlformats.org/officeDocument/2006/relationships" ref="E80" r:id="rId105"/>
    <hyperlink xmlns:r="http://schemas.openxmlformats.org/officeDocument/2006/relationships" ref="D81" r:id="rId106"/>
    <hyperlink xmlns:r="http://schemas.openxmlformats.org/officeDocument/2006/relationships" ref="E81" r:id="rId107"/>
    <hyperlink xmlns:r="http://schemas.openxmlformats.org/officeDocument/2006/relationships" ref="D82" r:id="rId108"/>
    <hyperlink xmlns:r="http://schemas.openxmlformats.org/officeDocument/2006/relationships" ref="E82" r:id="rId109"/>
    <hyperlink xmlns:r="http://schemas.openxmlformats.org/officeDocument/2006/relationships" ref="D83" r:id="rId110"/>
    <hyperlink xmlns:r="http://schemas.openxmlformats.org/officeDocument/2006/relationships" ref="E83" r:id="rId111"/>
    <hyperlink xmlns:r="http://schemas.openxmlformats.org/officeDocument/2006/relationships" ref="D84" r:id="rId112"/>
    <hyperlink xmlns:r="http://schemas.openxmlformats.org/officeDocument/2006/relationships" ref="E84" r:id="rId113"/>
    <hyperlink xmlns:r="http://schemas.openxmlformats.org/officeDocument/2006/relationships" ref="D85" r:id="rId114"/>
    <hyperlink xmlns:r="http://schemas.openxmlformats.org/officeDocument/2006/relationships" ref="E85" r:id="rId115"/>
    <hyperlink xmlns:r="http://schemas.openxmlformats.org/officeDocument/2006/relationships" ref="D86" r:id="rId116"/>
    <hyperlink xmlns:r="http://schemas.openxmlformats.org/officeDocument/2006/relationships" ref="E86" r:id="rId117"/>
    <hyperlink xmlns:r="http://schemas.openxmlformats.org/officeDocument/2006/relationships" ref="D87" r:id="rId118"/>
    <hyperlink xmlns:r="http://schemas.openxmlformats.org/officeDocument/2006/relationships" ref="E87" r:id="rId119"/>
    <hyperlink xmlns:r="http://schemas.openxmlformats.org/officeDocument/2006/relationships" ref="D88" r:id="rId120"/>
    <hyperlink xmlns:r="http://schemas.openxmlformats.org/officeDocument/2006/relationships" ref="E88" r:id="rId121"/>
    <hyperlink xmlns:r="http://schemas.openxmlformats.org/officeDocument/2006/relationships" ref="D92" r:id="rId122"/>
    <hyperlink xmlns:r="http://schemas.openxmlformats.org/officeDocument/2006/relationships" ref="E92" r:id="rId123"/>
    <hyperlink xmlns:r="http://schemas.openxmlformats.org/officeDocument/2006/relationships" ref="D93" r:id="rId124"/>
    <hyperlink xmlns:r="http://schemas.openxmlformats.org/officeDocument/2006/relationships" ref="E93" r:id="rId125"/>
    <hyperlink xmlns:r="http://schemas.openxmlformats.org/officeDocument/2006/relationships" ref="D94" r:id="rId126"/>
    <hyperlink xmlns:r="http://schemas.openxmlformats.org/officeDocument/2006/relationships" ref="E94" r:id="rId127"/>
    <hyperlink xmlns:r="http://schemas.openxmlformats.org/officeDocument/2006/relationships" ref="D95" r:id="rId128"/>
    <hyperlink xmlns:r="http://schemas.openxmlformats.org/officeDocument/2006/relationships" ref="E95" r:id="rId129"/>
    <hyperlink xmlns:r="http://schemas.openxmlformats.org/officeDocument/2006/relationships" ref="D96" r:id="rId130"/>
    <hyperlink xmlns:r="http://schemas.openxmlformats.org/officeDocument/2006/relationships" ref="E96" r:id="rId131"/>
    <hyperlink xmlns:r="http://schemas.openxmlformats.org/officeDocument/2006/relationships" ref="D97" r:id="rId132"/>
    <hyperlink xmlns:r="http://schemas.openxmlformats.org/officeDocument/2006/relationships" ref="E97" r:id="rId133"/>
    <hyperlink xmlns:r="http://schemas.openxmlformats.org/officeDocument/2006/relationships" ref="D98" r:id="rId134"/>
    <hyperlink xmlns:r="http://schemas.openxmlformats.org/officeDocument/2006/relationships" ref="E98" r:id="rId135"/>
    <hyperlink xmlns:r="http://schemas.openxmlformats.org/officeDocument/2006/relationships" ref="D99" r:id="rId136"/>
    <hyperlink xmlns:r="http://schemas.openxmlformats.org/officeDocument/2006/relationships" ref="E99" r:id="rId137"/>
    <hyperlink xmlns:r="http://schemas.openxmlformats.org/officeDocument/2006/relationships" ref="D100" r:id="rId138"/>
    <hyperlink xmlns:r="http://schemas.openxmlformats.org/officeDocument/2006/relationships" ref="E100" r:id="rId139"/>
    <hyperlink xmlns:r="http://schemas.openxmlformats.org/officeDocument/2006/relationships" ref="D101" r:id="rId140"/>
    <hyperlink xmlns:r="http://schemas.openxmlformats.org/officeDocument/2006/relationships" ref="E101" r:id="rId141"/>
    <hyperlink xmlns:r="http://schemas.openxmlformats.org/officeDocument/2006/relationships" ref="D105" r:id="rId142"/>
    <hyperlink xmlns:r="http://schemas.openxmlformats.org/officeDocument/2006/relationships" ref="E105" r:id="rId143"/>
    <hyperlink xmlns:r="http://schemas.openxmlformats.org/officeDocument/2006/relationships" ref="D106" r:id="rId144"/>
    <hyperlink xmlns:r="http://schemas.openxmlformats.org/officeDocument/2006/relationships" ref="E106" r:id="rId145"/>
    <hyperlink xmlns:r="http://schemas.openxmlformats.org/officeDocument/2006/relationships" ref="D107" r:id="rId146"/>
    <hyperlink xmlns:r="http://schemas.openxmlformats.org/officeDocument/2006/relationships" ref="E107" r:id="rId147"/>
    <hyperlink xmlns:r="http://schemas.openxmlformats.org/officeDocument/2006/relationships" ref="D108" r:id="rId148"/>
    <hyperlink xmlns:r="http://schemas.openxmlformats.org/officeDocument/2006/relationships" ref="E108" r:id="rId149"/>
    <hyperlink xmlns:r="http://schemas.openxmlformats.org/officeDocument/2006/relationships" ref="D109" r:id="rId150"/>
    <hyperlink xmlns:r="http://schemas.openxmlformats.org/officeDocument/2006/relationships" ref="E109" r:id="rId1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2026-08-04T10:40:08Z</dcterms:created>
  <dcterms:modified xmlns:dcterms="http://purl.org/dc/terms/" xmlns:xsi="http://www.w3.org/2001/XMLSchema-instance" xsi:type="dcterms:W3CDTF">2026-08-04T10:40:08Z</dcterms:modified>
</cp:coreProperties>
</file>