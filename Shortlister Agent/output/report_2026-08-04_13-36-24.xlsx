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Astral Limited</t>
        </is>
      </c>
      <c r="B2" t="inlineStr">
        <is>
          <t>BSE:ASTRAL</t>
        </is>
      </c>
      <c r="C2" t="inlineStr">
        <is>
          <t>Miscellaneous Manufacturing</t>
        </is>
      </c>
      <c r="D2" t="n">
        <v>65686000000</v>
      </c>
      <c r="E2" t="n">
        <v>5366000000</v>
      </c>
      <c r="F2" t="n">
        <v>4899</v>
      </c>
      <c r="G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H2" s="2">
        <f>HYPERLINK("https://astralltd.com", "https://astralltd.com")</f>
        <v/>
      </c>
      <c r="I2" s="2">
        <f>HYPERLINK("https://www.linkedin.com/company/astralpipesofficial", "https://www.linkedin.com/company/astralpipesofficial")</f>
        <v/>
      </c>
      <c r="J2" s="3" t="inlineStr">
        <is>
          <t>Verified</t>
        </is>
      </c>
    </row>
    <row r="3">
      <c r="A3" t="inlineStr">
        <is>
          <t>V-Guard Industries Limited</t>
        </is>
      </c>
      <c r="B3" t="inlineStr">
        <is>
          <t>BSE:VGUARD</t>
        </is>
      </c>
      <c r="C3" t="inlineStr">
        <is>
          <t>Electrical Products</t>
        </is>
      </c>
      <c r="D3" t="n">
        <v>63103500000</v>
      </c>
      <c r="E3" t="n">
        <v>3647300000</v>
      </c>
      <c r="F3" t="n">
        <v>3219</v>
      </c>
      <c r="G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H3" s="2">
        <f>HYPERLINK("https://www.vguard.in", "https://www.vguard.in")</f>
        <v/>
      </c>
      <c r="I3" s="2">
        <f>HYPERLINK("https://www.linkedin.com/company/v-guard", "https://www.linkedin.com/company/v-guard")</f>
        <v/>
      </c>
      <c r="J3" s="3" t="inlineStr">
        <is>
          <t>Verified</t>
        </is>
      </c>
    </row>
    <row r="4">
      <c r="A4" t="inlineStr">
        <is>
          <t>Sundram Fasteners Limited</t>
        </is>
      </c>
      <c r="B4" t="inlineStr">
        <is>
          <t>BSE:SUNDRMFAST</t>
        </is>
      </c>
      <c r="C4" t="inlineStr">
        <is>
          <t>Auto Parts: OEM</t>
        </is>
      </c>
      <c r="D4" t="n">
        <v>62888200000</v>
      </c>
      <c r="E4" t="n">
        <v>5911900000</v>
      </c>
      <c r="F4" t="n">
        <v>3185</v>
      </c>
      <c r="G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bearing housings, spokes and nipples, automobile kits, dowels and rollers, small screws, and tools, as well as precision forged components for use in heavy vehicles for on-highway and off-highway applications; and provides financial and software services. Sundram Fasteners Limited was incorporated in 1962 and is headquartered in Chennai, India.</t>
        </is>
      </c>
      <c r="H4" s="2">
        <f>HYPERLINK("https://www.sundram.com", "https://www.sundram.com")</f>
        <v/>
      </c>
      <c r="I4" s="2">
        <f>HYPERLINK("https://www.linkedin.com/company/sundram-fasteners", "https://www.linkedin.com/company/sundram-fasteners")</f>
        <v/>
      </c>
      <c r="J4" s="3" t="inlineStr">
        <is>
          <t>Verified</t>
        </is>
      </c>
    </row>
    <row r="5">
      <c r="A5" t="inlineStr">
        <is>
          <t>JBM Auto Limited</t>
        </is>
      </c>
      <c r="B5" t="inlineStr">
        <is>
          <t>BSE:JBMA</t>
        </is>
      </c>
      <c r="C5" t="inlineStr">
        <is>
          <t>Auto Parts: OEM</t>
        </is>
      </c>
      <c r="D5" t="n">
        <v>62769400000</v>
      </c>
      <c r="E5" t="n">
        <v>2241800000</v>
      </c>
      <c r="F5" t="n">
        <v>3555</v>
      </c>
      <c r="G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H5" s="2">
        <f>HYPERLINK("https://www.jbmgroup.com", "https://www.jbmgroup.com")</f>
        <v/>
      </c>
      <c r="I5" s="2">
        <f>HYPERLINK("https://www.linkedin.com/company/jbm-group", "https://www.linkedin.com/company/jbm-group")</f>
        <v/>
      </c>
      <c r="J5" s="3" t="inlineStr">
        <is>
          <t>Verified</t>
        </is>
      </c>
    </row>
    <row r="6">
      <c r="A6" t="inlineStr">
        <is>
          <t>Minda Corporation Limited</t>
        </is>
      </c>
      <c r="B6" t="inlineStr">
        <is>
          <t>NSE:MINDACORP</t>
        </is>
      </c>
      <c r="C6" t="inlineStr">
        <is>
          <t>Auto Parts: OEM</t>
        </is>
      </c>
      <c r="D6" t="n">
        <v>61853400000</v>
      </c>
      <c r="E6" t="n">
        <v>3602600000</v>
      </c>
      <c r="F6" t="n">
        <v>3405</v>
      </c>
      <c r="G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H6" s="2">
        <f>HYPERLINK("https://sparkminda.com", "https://sparkminda.com")</f>
        <v/>
      </c>
      <c r="I6" s="2">
        <f>HYPERLINK("https://www.linkedin.com/company/sparkminda", "https://www.linkedin.com/company/sparkminda")</f>
        <v/>
      </c>
      <c r="J6" s="3" t="inlineStr">
        <is>
          <t>Verified</t>
        </is>
      </c>
    </row>
    <row r="7">
      <c r="A7" t="inlineStr">
        <is>
          <t>Ram Ratna Wires Limited</t>
        </is>
      </c>
      <c r="B7" t="inlineStr">
        <is>
          <t>NSE:RAMRAT</t>
        </is>
      </c>
      <c r="C7" t="inlineStr">
        <is>
          <t>Electrical Products</t>
        </is>
      </c>
      <c r="D7" t="n">
        <v>60474618000</v>
      </c>
      <c r="E7" t="n">
        <v>1268083000</v>
      </c>
      <c r="F7" t="n">
        <v>1288</v>
      </c>
      <c r="G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H7" s="2">
        <f>HYPERLINK("https://www.rrshramik.com", "https://www.rrshramik.com")</f>
        <v/>
      </c>
      <c r="I7" s="2">
        <f>HYPERLINK("https://www.linkedin.com/company/rrglobal", "https://www.linkedin.com/company/rrglobal")</f>
        <v/>
      </c>
      <c r="J7" s="3" t="inlineStr">
        <is>
          <t>Verified</t>
        </is>
      </c>
    </row>
    <row r="8">
      <c r="A8" t="inlineStr">
        <is>
          <t>Rane Holdings Limited</t>
        </is>
      </c>
      <c r="B8" t="inlineStr">
        <is>
          <t>BSE:RANEHOLDIN</t>
        </is>
      </c>
      <c r="C8" t="inlineStr">
        <is>
          <t>Auto Parts: OEM</t>
        </is>
      </c>
      <c r="D8" t="n">
        <v>58833100000</v>
      </c>
      <c r="E8" t="n">
        <v>978700000</v>
      </c>
      <c r="F8" t="n">
        <v>130</v>
      </c>
      <c r="G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H8" s="2">
        <f>HYPERLINK("https://www.ranegroup.com", "https://www.ranegroup.com")</f>
        <v/>
      </c>
      <c r="I8" s="2">
        <f>HYPERLINK("https://www.linkedin.com/company/rane-holdings-limited", "https://www.linkedin.com/company/rane-holdings-limited")</f>
        <v/>
      </c>
      <c r="J8" s="3" t="inlineStr">
        <is>
          <t>Verified</t>
        </is>
      </c>
    </row>
    <row r="9">
      <c r="A9" t="inlineStr">
        <is>
          <t>Century Plyboards (India) Limited</t>
        </is>
      </c>
      <c r="B9" t="inlineStr">
        <is>
          <t>BSE:CENTURYPLY</t>
        </is>
      </c>
      <c r="C9" t="inlineStr">
        <is>
          <t>Building Products</t>
        </is>
      </c>
      <c r="D9" t="n">
        <v>57892045000</v>
      </c>
      <c r="E9" t="n">
        <v>2911405000</v>
      </c>
      <c r="F9" t="inlineStr"/>
      <c r="G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H9" s="2">
        <f>HYPERLINK("https://www.centuryply.com", "https://www.centuryply.com")</f>
        <v/>
      </c>
      <c r="I9" s="2">
        <f>HYPERLINK("https://www.linkedin.com/company/century-plyboards-limited", "https://www.linkedin.com/company/century-plyboards-limited")</f>
        <v/>
      </c>
      <c r="J9" s="3" t="inlineStr">
        <is>
          <t>Verified</t>
        </is>
      </c>
    </row>
    <row r="10">
      <c r="A10" t="inlineStr">
        <is>
          <t>Wheels India Limited</t>
        </is>
      </c>
      <c r="B10" t="inlineStr">
        <is>
          <t>BSE:WHEELS</t>
        </is>
      </c>
      <c r="C10" t="inlineStr">
        <is>
          <t>Auto Parts: OEM</t>
        </is>
      </c>
      <c r="D10" t="n">
        <v>56904400000</v>
      </c>
      <c r="E10" t="n">
        <v>1634600000</v>
      </c>
      <c r="F10" t="n">
        <v>2735</v>
      </c>
      <c r="G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H10" s="2">
        <f>HYPERLINK("https://www.wheelsindia.com", "https://www.wheelsindia.com")</f>
        <v/>
      </c>
      <c r="I10" s="2">
        <f>HYPERLINK("https://www.linkedin.com/company/wheelsindialimited", "https://www.linkedin.com/company/wheelsindialimited")</f>
        <v/>
      </c>
      <c r="J10" s="3" t="inlineStr">
        <is>
          <t>Verified</t>
        </is>
      </c>
    </row>
    <row r="11">
      <c r="A11" t="inlineStr">
        <is>
          <t>Steel Strips Wheels Limited</t>
        </is>
      </c>
      <c r="B11" t="inlineStr">
        <is>
          <t>BSE:SSWL</t>
        </is>
      </c>
      <c r="C11" t="inlineStr">
        <is>
          <t>Auto Parts: OEM</t>
        </is>
      </c>
      <c r="D11" t="n">
        <v>55058362000</v>
      </c>
      <c r="E11" t="n">
        <v>2124273000</v>
      </c>
      <c r="F11" t="inlineStr"/>
      <c r="G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H11" s="2">
        <f>HYPERLINK("https://sswlindia.com", "https://sswlindia.com")</f>
        <v/>
      </c>
      <c r="I11" s="2">
        <f>HYPERLINK("https://www.linkedin.com/company/steel-strips-wheels-limited", "https://www.linkedin.com/company/steel-strips-wheels-limited")</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2026-08-04T08:06:24Z</dcterms:created>
  <dcterms:modified xmlns:dcterms="http://purl.org/dc/terms/" xmlns:xsi="http://www.w3.org/2001/XMLSchema-instance" xsi:type="dcterms:W3CDTF">2026-08-04T08:06:24Z</dcterms:modified>
</cp:coreProperties>
</file>