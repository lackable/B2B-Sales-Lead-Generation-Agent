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NSE:AARTIDRUGS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7"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AKUMS</t>
        </is>
      </c>
      <c r="B2" s="2">
        <f>HYPERLINK("https://www.akums.in", "https://www.akums.in")</f>
        <v/>
      </c>
      <c r="C2" s="2">
        <f>HYPERLINK("https://www.linkedin.com/company/akums", "https://www.linkedin.com/company/akums")</f>
        <v/>
      </c>
      <c r="D2" t="inlineStr">
        <is>
          <t>India</t>
        </is>
      </c>
      <c r="E2" t="inlineStr">
        <is>
          <t>Founder and Managing Director at Akums Drugs &amp; Pharmaceuticals Ltd</t>
        </is>
      </c>
      <c r="F2" t="inlineStr">
        <is>
          <t>Sandeep Jain</t>
        </is>
      </c>
      <c r="G2" s="2">
        <f>HYPERLINK("https://in.linkedin.com/in/sandeep-jain-akums", "https://in.linkedin.com/in/sandeep-jain-akums")</f>
        <v/>
      </c>
    </row>
    <row r="3">
      <c r="A3" t="inlineStr">
        <is>
          <t>AKUMS</t>
        </is>
      </c>
      <c r="B3" s="2">
        <f>HYPERLINK("https://www.akums.in", "https://www.akums.in")</f>
        <v/>
      </c>
      <c r="C3" s="2">
        <f>HYPERLINK("https://www.linkedin.com/company/akums", "https://www.linkedin.com/company/akums")</f>
        <v/>
      </c>
      <c r="D3" t="inlineStr">
        <is>
          <t>India</t>
        </is>
      </c>
      <c r="E3" t="inlineStr">
        <is>
          <t>Director at Akums Drugs &amp; Pharmaceuticals Ltd</t>
        </is>
      </c>
      <c r="F3" t="inlineStr">
        <is>
          <t>Sanjeev Jain</t>
        </is>
      </c>
      <c r="G3" s="2">
        <f>HYPERLINK("https://in.linkedin.com/in/sanjeev-jain-ab257a2a", "https://in.linkedin.com/in/sanjeev-jain-ab257a2a")</f>
        <v/>
      </c>
    </row>
    <row r="4">
      <c r="A4" t="inlineStr">
        <is>
          <t>AKUMS</t>
        </is>
      </c>
      <c r="B4" s="2">
        <f>HYPERLINK("https://www.akums.in", "https://www.akums.in")</f>
        <v/>
      </c>
      <c r="C4" s="2">
        <f>HYPERLINK("https://www.linkedin.com/company/akums", "https://www.linkedin.com/company/akums")</f>
        <v/>
      </c>
      <c r="D4" t="inlineStr">
        <is>
          <t>India</t>
        </is>
      </c>
      <c r="E4" t="inlineStr">
        <is>
          <t>GM - IT at Akums Drugs &amp; Pharmaceuticals Ltd</t>
        </is>
      </c>
      <c r="F4" t="inlineStr">
        <is>
          <t>Birendra Kumar</t>
        </is>
      </c>
      <c r="G4" s="2">
        <f>HYPERLINK("https://in.linkedin.com/in/birendra-kumar-01a0b142", "https://in.linkedin.com/in/birendra-kumar-01a0b142")</f>
        <v/>
      </c>
    </row>
    <row r="5">
      <c r="A5" t="inlineStr">
        <is>
          <t>AKUMS</t>
        </is>
      </c>
      <c r="B5" s="2">
        <f>HYPERLINK("https://www.akums.in", "https://www.akums.in")</f>
        <v/>
      </c>
      <c r="C5" s="2">
        <f>HYPERLINK("https://www.linkedin.com/company/akums", "https://www.linkedin.com/company/akums")</f>
        <v/>
      </c>
      <c r="D5" t="inlineStr">
        <is>
          <t>India</t>
        </is>
      </c>
      <c r="E5" t="inlineStr">
        <is>
          <t>General Manager - Business Development at Akums Drugs &amp; Pharmaceuticals Ltd</t>
        </is>
      </c>
      <c r="F5" t="inlineStr">
        <is>
          <t>Manmohan Singh</t>
        </is>
      </c>
      <c r="G5" s="2">
        <f>HYPERLINK("https://in.linkedin.com/in/manmohan-singh-282671209", "https://in.linkedin.com/in/manmohan-singh-282671209")</f>
        <v/>
      </c>
    </row>
    <row r="6">
      <c r="A6" t="inlineStr">
        <is>
          <t>AKUMS</t>
        </is>
      </c>
      <c r="B6" s="2">
        <f>HYPERLINK("https://www.akums.in", "https://www.akums.in")</f>
        <v/>
      </c>
      <c r="C6" s="2">
        <f>HYPERLINK("https://www.linkedin.com/company/akums", "https://www.linkedin.com/company/akums")</f>
        <v/>
      </c>
      <c r="D6" t="inlineStr">
        <is>
          <t>India</t>
        </is>
      </c>
      <c r="E6" t="inlineStr">
        <is>
          <t>GM - SCM (Supply Chain Management) - Pharmaceutical Industry / Akums</t>
        </is>
      </c>
      <c r="F6" t="inlineStr">
        <is>
          <t>Anupam Madhukar</t>
        </is>
      </c>
      <c r="G6" s="2">
        <f>HYPERLINK("https://in.linkedin.com/in/anupam-madhukar-1b9ba69", "https://in.linkedin.com/in/anupam-madhukar-1b9ba69")</f>
        <v/>
      </c>
    </row>
    <row r="7">
      <c r="A7" t="inlineStr">
        <is>
          <t>AKUMS</t>
        </is>
      </c>
      <c r="B7" s="2">
        <f>HYPERLINK("https://www.akums.in", "https://www.akums.in")</f>
        <v/>
      </c>
      <c r="C7" s="2">
        <f>HYPERLINK("https://www.linkedin.com/company/akums", "https://www.linkedin.com/company/akums")</f>
        <v/>
      </c>
      <c r="D7" t="inlineStr">
        <is>
          <t>India</t>
        </is>
      </c>
      <c r="E7" t="inlineStr">
        <is>
          <t>General Manager - Business Development at Akums Drugs &amp; Pharmaceuticals Ltd</t>
        </is>
      </c>
      <c r="F7" t="inlineStr">
        <is>
          <t>Mahesh Malhotra</t>
        </is>
      </c>
      <c r="G7" s="2">
        <f>HYPERLINK("https://in.linkedin.com/in/mahesh-malhotra-94a1b948", "https://in.linkedin.com/in/mahesh-malhotra-94a1b948")</f>
        <v/>
      </c>
    </row>
    <row r="8">
      <c r="A8" t="inlineStr">
        <is>
          <t>AKUMS</t>
        </is>
      </c>
      <c r="B8" s="2">
        <f>HYPERLINK("https://www.akums.in", "https://www.akums.in")</f>
        <v/>
      </c>
      <c r="C8" s="2">
        <f>HYPERLINK("https://www.linkedin.com/company/akums", "https://www.linkedin.com/company/akums")</f>
        <v/>
      </c>
      <c r="D8" t="inlineStr">
        <is>
          <t>India</t>
        </is>
      </c>
      <c r="E8" t="inlineStr">
        <is>
          <t>Head - R&amp;D at Akums Drugs &amp; Pharmaceuticals Ltd</t>
        </is>
      </c>
      <c r="F8" t="inlineStr">
        <is>
          <t>Nitin Saigal, PhD</t>
        </is>
      </c>
      <c r="G8" s="2">
        <f>HYPERLINK("https://in.linkedin.com/in/nitinsaigal83", "https://in.linkedin.com/in/nitinsaigal83")</f>
        <v/>
      </c>
    </row>
    <row r="9">
      <c r="A9" t="inlineStr">
        <is>
          <t>AKUMS</t>
        </is>
      </c>
      <c r="B9" s="2">
        <f>HYPERLINK("https://www.akums.in", "https://www.akums.in")</f>
        <v/>
      </c>
      <c r="C9" s="2">
        <f>HYPERLINK("https://www.linkedin.com/company/akums", "https://www.linkedin.com/company/akums")</f>
        <v/>
      </c>
      <c r="D9" t="inlineStr">
        <is>
          <t>India</t>
        </is>
      </c>
      <c r="E9" t="inlineStr">
        <is>
          <t>President – Corporate Quality at Akums Drugs &amp; Pharmaceuticals Ltd</t>
        </is>
      </c>
      <c r="F9" t="inlineStr">
        <is>
          <t>Shantanu Chobhe</t>
        </is>
      </c>
      <c r="G9" s="2">
        <f>HYPERLINK("https://in.linkedin.com/in/santnuchobe", "https://in.linkedin.com/in/santnuchobe")</f>
        <v/>
      </c>
    </row>
    <row r="10">
      <c r="A10" t="inlineStr">
        <is>
          <t>INDGN</t>
        </is>
      </c>
      <c r="B10" s="2">
        <f>HYPERLINK("https://www.indegene.com", "https://www.indegene.com")</f>
        <v/>
      </c>
      <c r="C10" s="2">
        <f>HYPERLINK("https://www.linkedin.com/company/indegene", "https://www.linkedin.com/company/indegene")</f>
        <v/>
      </c>
      <c r="D10" t="inlineStr">
        <is>
          <t>India</t>
        </is>
      </c>
      <c r="E10" t="inlineStr">
        <is>
          <t>Co-founder &amp; Chief Executive Officer</t>
        </is>
      </c>
      <c r="F10" t="inlineStr">
        <is>
          <t>Manish Gupta</t>
        </is>
      </c>
      <c r="G10" s="2">
        <f>HYPERLINK("https://in.linkedin.com/in/manish-gupta-4b85b2", "https://in.linkedin.com/in/manish-gupta-4b85b2")</f>
        <v/>
      </c>
    </row>
    <row r="11">
      <c r="A11" t="inlineStr">
        <is>
          <t>INDGN</t>
        </is>
      </c>
      <c r="B11" s="2">
        <f>HYPERLINK("https://www.indegene.com", "https://www.indegene.com")</f>
        <v/>
      </c>
      <c r="C11" s="2">
        <f>HYPERLINK("https://www.linkedin.com/company/indegene", "https://www.linkedin.com/company/indegene")</f>
        <v/>
      </c>
      <c r="D11" t="inlineStr">
        <is>
          <t>India</t>
        </is>
      </c>
      <c r="E11" t="inlineStr">
        <is>
          <t>Vice President; India Region Head &amp; Head Global Delivery/Capability Centers</t>
        </is>
      </c>
      <c r="F11" t="inlineStr">
        <is>
          <t>Saurabh Jain</t>
        </is>
      </c>
      <c r="G11" s="2">
        <f>HYPERLINK("https://in.linkedin.com/in/globalcme", "https://in.linkedin.com/in/globalcme")</f>
        <v/>
      </c>
    </row>
    <row r="12">
      <c r="A12" t="inlineStr">
        <is>
          <t>INDGN</t>
        </is>
      </c>
      <c r="B12" s="2">
        <f>HYPERLINK("https://www.indegene.com", "https://www.indegene.com")</f>
        <v/>
      </c>
      <c r="C12" s="2">
        <f>HYPERLINK("https://www.linkedin.com/company/indegene", "https://www.linkedin.com/company/indegene")</f>
        <v/>
      </c>
      <c r="D12" t="inlineStr">
        <is>
          <t>India</t>
        </is>
      </c>
      <c r="E12" t="inlineStr">
        <is>
          <t>Associate Vice President, Enterprise Technology Office</t>
        </is>
      </c>
      <c r="F12" t="inlineStr">
        <is>
          <t>Nishanth Rao</t>
        </is>
      </c>
      <c r="G12" s="2">
        <f>HYPERLINK("https://in.linkedin.com/in/nishantharao", "https://in.linkedin.com/in/nishantharao")</f>
        <v/>
      </c>
    </row>
    <row r="13">
      <c r="A13" t="inlineStr">
        <is>
          <t>INDGN</t>
        </is>
      </c>
      <c r="B13" s="2">
        <f>HYPERLINK("https://www.indegene.com", "https://www.indegene.com")</f>
        <v/>
      </c>
      <c r="C13" s="2">
        <f>HYPERLINK("https://www.linkedin.com/company/indegene", "https://www.linkedin.com/company/indegene")</f>
        <v/>
      </c>
      <c r="D13" t="inlineStr">
        <is>
          <t>India</t>
        </is>
      </c>
      <c r="E13" t="inlineStr">
        <is>
          <t>Director - GenAI Transformation</t>
        </is>
      </c>
      <c r="F13" t="inlineStr">
        <is>
          <t>Jhanvi Dhawan</t>
        </is>
      </c>
      <c r="G13" s="2">
        <f>HYPERLINK("https://in.linkedin.com/in/jhanvidhawan", "https://in.linkedin.com/in/jhanvidhawan")</f>
        <v/>
      </c>
    </row>
    <row r="14">
      <c r="A14" t="inlineStr">
        <is>
          <t>INDGN</t>
        </is>
      </c>
      <c r="B14" s="2">
        <f>HYPERLINK("https://www.indegene.com", "https://www.indegene.com")</f>
        <v/>
      </c>
      <c r="C14" s="2">
        <f>HYPERLINK("https://www.linkedin.com/company/indegene", "https://www.linkedin.com/company/indegene")</f>
        <v/>
      </c>
      <c r="D14" t="inlineStr">
        <is>
          <t>India</t>
        </is>
      </c>
      <c r="E14" t="inlineStr">
        <is>
          <t>Global Head of Corporate Development and M&amp;A</t>
        </is>
      </c>
      <c r="F14" t="inlineStr">
        <is>
          <t>Shouvanik Chatterjee</t>
        </is>
      </c>
      <c r="G14" s="2">
        <f>HYPERLINK("https://www.linkedin.com/in/mobilemoney1", "https://www.linkedin.com/in/mobilemoney1")</f>
        <v/>
      </c>
    </row>
    <row r="15">
      <c r="A15" t="inlineStr">
        <is>
          <t>INDGN</t>
        </is>
      </c>
      <c r="B15" s="2">
        <f>HYPERLINK("https://www.indegene.com", "https://www.indegene.com")</f>
        <v/>
      </c>
      <c r="C15" s="2">
        <f>HYPERLINK("https://www.linkedin.com/company/indegene", "https://www.linkedin.com/company/indegene")</f>
        <v/>
      </c>
      <c r="D15" t="inlineStr">
        <is>
          <t>India</t>
        </is>
      </c>
      <c r="E15" t="inlineStr">
        <is>
          <t>Chief Financial Officer</t>
        </is>
      </c>
      <c r="F15" t="inlineStr">
        <is>
          <t>Suhas Prabhu</t>
        </is>
      </c>
      <c r="G15" s="2">
        <f>HYPERLINK("https://in.linkedin.com/in/suhas-prabhu-1807563", "https://in.linkedin.com/in/suhas-prabhu-1807563")</f>
        <v/>
      </c>
    </row>
    <row r="16">
      <c r="A16" t="inlineStr">
        <is>
          <t>INDGN</t>
        </is>
      </c>
      <c r="B16" s="2">
        <f>HYPERLINK("https://www.indegene.com", "https://www.indegene.com")</f>
        <v/>
      </c>
      <c r="C16" s="2">
        <f>HYPERLINK("https://www.linkedin.com/company/indegene", "https://www.linkedin.com/company/indegene")</f>
        <v/>
      </c>
      <c r="D16" t="inlineStr">
        <is>
          <t>India</t>
        </is>
      </c>
      <c r="E16" t="inlineStr">
        <is>
          <t>Head, Corporate Strategy &amp; Product</t>
        </is>
      </c>
      <c r="F16" t="inlineStr">
        <is>
          <t>Amit Gupta</t>
        </is>
      </c>
      <c r="G16" s="2">
        <f>HYPERLINK("https://in.linkedin.com/in/guptaamitk", "https://in.linkedin.com/in/guptaamitk")</f>
        <v/>
      </c>
    </row>
    <row r="17">
      <c r="A17" t="inlineStr">
        <is>
          <t>INDGN</t>
        </is>
      </c>
      <c r="B17" s="2">
        <f>HYPERLINK("https://www.indegene.com", "https://www.indegene.com")</f>
        <v/>
      </c>
      <c r="C17" s="2">
        <f>HYPERLINK("https://www.linkedin.com/company/indegene", "https://www.linkedin.com/company/indegene")</f>
        <v/>
      </c>
      <c r="D17" t="inlineStr">
        <is>
          <t>India</t>
        </is>
      </c>
      <c r="E17" t="inlineStr">
        <is>
          <t>Director</t>
        </is>
      </c>
      <c r="F17" t="inlineStr">
        <is>
          <t>Rohan Seth</t>
        </is>
      </c>
      <c r="G17" s="2">
        <f>HYPERLINK("https://www.linkedin.com/in/rohan-seth", "https://www.linkedin.com/in/rohan-seth")</f>
        <v/>
      </c>
    </row>
    <row r="18">
      <c r="A18" t="inlineStr">
        <is>
          <t>INDGN</t>
        </is>
      </c>
      <c r="B18" s="2">
        <f>HYPERLINK("https://www.indegene.com", "https://www.indegene.com")</f>
        <v/>
      </c>
      <c r="C18" s="2">
        <f>HYPERLINK("https://www.linkedin.com/company/indegene", "https://www.linkedin.com/company/indegene")</f>
        <v/>
      </c>
      <c r="D18" t="inlineStr">
        <is>
          <t>India</t>
        </is>
      </c>
      <c r="E18" t="inlineStr">
        <is>
          <t>Director</t>
        </is>
      </c>
      <c r="F18" t="inlineStr">
        <is>
          <t>Sujay B G</t>
        </is>
      </c>
      <c r="G18" s="2">
        <f>HYPERLINK("https://in.linkedin.com/in/sujay-b-g-526bba45", "https://in.linkedin.com/in/sujay-b-g-526bba45")</f>
        <v/>
      </c>
    </row>
    <row r="19">
      <c r="A19" t="inlineStr">
        <is>
          <t>INDGN</t>
        </is>
      </c>
      <c r="B19" s="2">
        <f>HYPERLINK("https://www.indegene.com", "https://www.indegene.com")</f>
        <v/>
      </c>
      <c r="C19" s="2">
        <f>HYPERLINK("https://www.linkedin.com/company/indegene", "https://www.linkedin.com/company/indegene")</f>
        <v/>
      </c>
      <c r="D19" t="inlineStr">
        <is>
          <t>India</t>
        </is>
      </c>
      <c r="E19" t="inlineStr">
        <is>
          <t>Director - Finance</t>
        </is>
      </c>
      <c r="F19" t="inlineStr">
        <is>
          <t>Mary Prasad</t>
        </is>
      </c>
      <c r="G19" s="2">
        <f>HYPERLINK("https://in.linkedin.com/in/mary-prasad-4303b1149", "https://in.linkedin.com/in/mary-prasad-4303b1149")</f>
        <v/>
      </c>
    </row>
    <row r="20">
      <c r="A20" t="inlineStr">
        <is>
          <t>INDGN</t>
        </is>
      </c>
      <c r="B20" s="2">
        <f>HYPERLINK("https://www.indegene.com", "https://www.indegene.com")</f>
        <v/>
      </c>
      <c r="C20" s="2">
        <f>HYPERLINK("https://www.linkedin.com/company/indegene", "https://www.linkedin.com/company/indegene")</f>
        <v/>
      </c>
      <c r="D20" t="inlineStr">
        <is>
          <t>India</t>
        </is>
      </c>
      <c r="E20" t="inlineStr">
        <is>
          <t>Head of Corporate Planning</t>
        </is>
      </c>
      <c r="F20" t="inlineStr">
        <is>
          <t>Girish Gowda</t>
        </is>
      </c>
      <c r="G20" s="2">
        <f>HYPERLINK("https://in.linkedin.com/in/girish-gowda-7b30a524", "https://in.linkedin.com/in/girish-gowda-7b30a524")</f>
        <v/>
      </c>
    </row>
    <row r="21">
      <c r="A21" t="inlineStr">
        <is>
          <t>INDGN</t>
        </is>
      </c>
      <c r="B21" s="2">
        <f>HYPERLINK("https://www.indegene.com", "https://www.indegene.com")</f>
        <v/>
      </c>
      <c r="C21" s="2">
        <f>HYPERLINK("https://www.linkedin.com/company/indegene", "https://www.linkedin.com/company/indegene")</f>
        <v/>
      </c>
      <c r="D21" t="inlineStr">
        <is>
          <t>India</t>
        </is>
      </c>
      <c r="E21" t="inlineStr">
        <is>
          <t>Global Finance Controller &amp; Treasury Management</t>
        </is>
      </c>
      <c r="F21" t="inlineStr">
        <is>
          <t>Narasimha BK</t>
        </is>
      </c>
      <c r="G21" s="2">
        <f>HYPERLINK("https://in.linkedin.com/in/narasimha-bk-93029147", "https://in.linkedin.com/in/narasimha-bk-93029147")</f>
        <v/>
      </c>
    </row>
    <row r="22">
      <c r="A22" t="inlineStr">
        <is>
          <t>INDGN</t>
        </is>
      </c>
      <c r="B22" s="2">
        <f>HYPERLINK("https://www.indegene.com", "https://www.indegene.com")</f>
        <v/>
      </c>
      <c r="C22" s="2">
        <f>HYPERLINK("https://www.linkedin.com/company/indegene", "https://www.linkedin.com/company/indegene")</f>
        <v/>
      </c>
      <c r="D22" t="inlineStr">
        <is>
          <t>India</t>
        </is>
      </c>
      <c r="E22" t="inlineStr">
        <is>
          <t>Global Customer Success Leader</t>
        </is>
      </c>
      <c r="F22" t="inlineStr">
        <is>
          <t>Dr Shilpi Sarwan</t>
        </is>
      </c>
      <c r="G22" s="2">
        <f>HYPERLINK("https://www.linkedin.com/in/dr-shilpi-sarwan-01262a11", "https://www.linkedin.com/in/dr-shilpi-sarwan-01262a11")</f>
        <v/>
      </c>
    </row>
    <row r="23">
      <c r="A23" t="inlineStr">
        <is>
          <t>WOCKPHARMA</t>
        </is>
      </c>
      <c r="B23" s="2">
        <f>HYPERLINK("https://www.wockhardt.com", "https://www.wockhardt.com")</f>
        <v/>
      </c>
      <c r="C23" s="2">
        <f>HYPERLINK("https://www.linkedin.com/company/wockhardt", "https://www.linkedin.com/company/wockhardt")</f>
        <v/>
      </c>
      <c r="D23" t="inlineStr">
        <is>
          <t>India</t>
        </is>
      </c>
      <c r="E23" t="inlineStr">
        <is>
          <t>Managing Director, Wockhardt Ltd.</t>
        </is>
      </c>
      <c r="F23" t="inlineStr">
        <is>
          <t>Dr Murtaza Khorakiwala</t>
        </is>
      </c>
      <c r="G23" s="2">
        <f>HYPERLINK("https://in.linkedin.com/in/murtazakhorakiwala", "https://in.linkedin.com/in/murtazakhorakiwala")</f>
        <v/>
      </c>
    </row>
    <row r="24">
      <c r="A24" t="inlineStr">
        <is>
          <t>WOCKPHARMA</t>
        </is>
      </c>
      <c r="B24" s="2">
        <f>HYPERLINK("https://www.wockhardt.com", "https://www.wockhardt.com")</f>
        <v/>
      </c>
      <c r="C24" s="2">
        <f>HYPERLINK("https://www.linkedin.com/company/wockhardt", "https://www.linkedin.com/company/wockhardt")</f>
        <v/>
      </c>
      <c r="D24" t="inlineStr">
        <is>
          <t>India</t>
        </is>
      </c>
      <c r="E24" t="inlineStr">
        <is>
          <t>Executive Director, Wockhardt Ltd.</t>
        </is>
      </c>
      <c r="F24" t="inlineStr">
        <is>
          <t>Dr Huzaifa Khorakiwala</t>
        </is>
      </c>
      <c r="G24" s="2">
        <f>HYPERLINK("https://in.linkedin.com/in/huzaifakhorakiwala", "https://in.linkedin.com/in/huzaifakhorakiwala")</f>
        <v/>
      </c>
    </row>
    <row r="25">
      <c r="A25" t="inlineStr">
        <is>
          <t>WOCKPHARMA</t>
        </is>
      </c>
      <c r="B25" s="2">
        <f>HYPERLINK("https://www.wockhardt.com", "https://www.wockhardt.com")</f>
        <v/>
      </c>
      <c r="C25" s="2">
        <f>HYPERLINK("https://www.linkedin.com/company/wockhardt", "https://www.linkedin.com/company/wockhardt")</f>
        <v/>
      </c>
      <c r="D25" t="inlineStr">
        <is>
          <t>India</t>
        </is>
      </c>
      <c r="E25" t="inlineStr">
        <is>
          <t>Chief Medical Officer (NCE NDD), Wockhardt Ltd.</t>
        </is>
      </c>
      <c r="F25" t="inlineStr">
        <is>
          <t>Prthwijit Kundu</t>
        </is>
      </c>
      <c r="G25" s="2">
        <f>HYPERLINK("https://in.linkedin.com/in/prthwijit-kundu-17132419", "https://in.linkedin.com/in/prthwijit-kundu-17132419")</f>
        <v/>
      </c>
    </row>
    <row r="26">
      <c r="A26" t="inlineStr">
        <is>
          <t>WOCKPHARMA</t>
        </is>
      </c>
      <c r="B26" s="2">
        <f>HYPERLINK("https://www.wockhardt.com", "https://www.wockhardt.com")</f>
        <v/>
      </c>
      <c r="C26" s="2">
        <f>HYPERLINK("https://www.linkedin.com/company/wockhardt", "https://www.linkedin.com/company/wockhardt")</f>
        <v/>
      </c>
      <c r="D26" t="inlineStr">
        <is>
          <t>India</t>
        </is>
      </c>
      <c r="E26" t="inlineStr">
        <is>
          <t>Chief Operating Officer, Wockhardt Foundation</t>
        </is>
      </c>
      <c r="F26" t="inlineStr">
        <is>
          <t>Ajay Somvanshi</t>
        </is>
      </c>
      <c r="G26" s="2">
        <f>HYPERLINK("https://in.linkedin.com/in/ajay-somvanshi-69643a2b", "https://in.linkedin.com/in/ajay-somvanshi-69643a2b")</f>
        <v/>
      </c>
    </row>
    <row r="27">
      <c r="A27" t="inlineStr">
        <is>
          <t>WOCKPHARMA</t>
        </is>
      </c>
      <c r="B27" s="2">
        <f>HYPERLINK("https://www.wockhardt.com", "https://www.wockhardt.com")</f>
        <v/>
      </c>
      <c r="C27" s="2">
        <f>HYPERLINK("https://www.linkedin.com/company/wockhardt", "https://www.linkedin.com/company/wockhardt")</f>
        <v/>
      </c>
      <c r="D27" t="inlineStr">
        <is>
          <t>India</t>
        </is>
      </c>
      <c r="E27" t="inlineStr">
        <is>
          <t>President (Global Supply Chain and Generics Business), Wockhardt Ltd.</t>
        </is>
      </c>
      <c r="F27" t="inlineStr">
        <is>
          <t>Prakash Gupta</t>
        </is>
      </c>
      <c r="G27" s="2">
        <f>HYPERLINK("https://in.linkedin.com/in/p6gupta", "https://in.linkedin.com/in/p6gupta")</f>
        <v/>
      </c>
    </row>
    <row r="28">
      <c r="A28" t="inlineStr">
        <is>
          <t>WOCKPHARMA</t>
        </is>
      </c>
      <c r="B28" s="2">
        <f>HYPERLINK("https://www.wockhardt.com", "https://www.wockhardt.com")</f>
        <v/>
      </c>
      <c r="C28" s="2">
        <f>HYPERLINK("https://www.linkedin.com/company/wockhardt", "https://www.linkedin.com/company/wockhardt")</f>
        <v/>
      </c>
      <c r="D28" t="inlineStr">
        <is>
          <t>India</t>
        </is>
      </c>
      <c r="E28" t="inlineStr">
        <is>
          <t>Sr. VP &amp; Head – Global Regulatory Affairs, Wockhardt Ltd.</t>
        </is>
      </c>
      <c r="F28" t="inlineStr">
        <is>
          <t>Zoher Sihorwala</t>
        </is>
      </c>
      <c r="G28" s="2">
        <f>HYPERLINK("https://in.linkedin.com/in/zoher-sihorwala-9ba73886", "https://in.linkedin.com/in/zoher-sihorwala-9ba73886")</f>
        <v/>
      </c>
    </row>
    <row r="29">
      <c r="A29" t="inlineStr">
        <is>
          <t>MARKSANS</t>
        </is>
      </c>
      <c r="B29" s="2">
        <f>HYPERLINK("https://marksanspharma.com", "https://marksanspharma.com")</f>
        <v/>
      </c>
      <c r="C29" s="2">
        <f>HYPERLINK("https://www.linkedin.com/company/marksans-pharma-ltd---india", "https://www.linkedin.com/company/marksans-pharma-ltd---india")</f>
        <v/>
      </c>
      <c r="D29" t="inlineStr">
        <is>
          <t>India</t>
        </is>
      </c>
      <c r="E29" t="inlineStr">
        <is>
          <t>Site Director</t>
        </is>
      </c>
      <c r="F29" t="inlineStr">
        <is>
          <t>Vikas Bhargava</t>
        </is>
      </c>
      <c r="G29" s="2">
        <f>HYPERLINK("https://in.linkedin.com/in/vikas-bhargava-8393705", "https://in.linkedin.com/in/vikas-bhargava-8393705")</f>
        <v/>
      </c>
    </row>
    <row r="30">
      <c r="A30" t="inlineStr">
        <is>
          <t>MARKSANS</t>
        </is>
      </c>
      <c r="B30" s="2">
        <f>HYPERLINK("https://marksanspharma.com", "https://marksanspharma.com")</f>
        <v/>
      </c>
      <c r="C30" s="2">
        <f>HYPERLINK("https://www.linkedin.com/company/marksans-pharma-ltd---india", "https://www.linkedin.com/company/marksans-pharma-ltd---india")</f>
        <v/>
      </c>
      <c r="D30" t="inlineStr">
        <is>
          <t>India</t>
        </is>
      </c>
      <c r="E30" t="inlineStr">
        <is>
          <t>Independent Director</t>
        </is>
      </c>
      <c r="F30" t="inlineStr">
        <is>
          <t>Abhinna Sundar Mohanty</t>
        </is>
      </c>
      <c r="G30" s="2">
        <f>HYPERLINK("https://in.linkedin.com/in/abhinna-sundar-mohanty-1276aa18", "https://in.linkedin.com/in/abhinna-sundar-mohanty-1276aa18")</f>
        <v/>
      </c>
    </row>
    <row r="31">
      <c r="A31" t="inlineStr">
        <is>
          <t>MARKSANS</t>
        </is>
      </c>
      <c r="B31" s="2">
        <f>HYPERLINK("https://marksanspharma.com", "https://marksanspharma.com")</f>
        <v/>
      </c>
      <c r="C31" s="2">
        <f>HYPERLINK("https://www.linkedin.com/company/marksans-pharma-ltd---india", "https://www.linkedin.com/company/marksans-pharma-ltd---india")</f>
        <v/>
      </c>
      <c r="D31" t="inlineStr">
        <is>
          <t>India</t>
        </is>
      </c>
      <c r="E31" t="inlineStr">
        <is>
          <t>Senior Director – Pharma Operations</t>
        </is>
      </c>
      <c r="F31" t="inlineStr">
        <is>
          <t>Durgaprasad Vaingankar</t>
        </is>
      </c>
      <c r="G31" s="2">
        <f>HYPERLINK("https://in.linkedin.com/in/durgaprasadvaingankar", "https://in.linkedin.com/in/durgaprasadvaingankar")</f>
        <v/>
      </c>
    </row>
    <row r="32">
      <c r="A32" t="inlineStr">
        <is>
          <t>MARKSANS</t>
        </is>
      </c>
      <c r="B32" s="2">
        <f>HYPERLINK("https://marksanspharma.com", "https://marksanspharma.com")</f>
        <v/>
      </c>
      <c r="C32" s="2">
        <f>HYPERLINK("https://www.linkedin.com/company/marksans-pharma-ltd---india", "https://www.linkedin.com/company/marksans-pharma-ltd---india")</f>
        <v/>
      </c>
      <c r="D32" t="inlineStr">
        <is>
          <t>India</t>
        </is>
      </c>
      <c r="E32" t="inlineStr">
        <is>
          <t>Director, Analytical Research</t>
        </is>
      </c>
      <c r="F32" t="inlineStr">
        <is>
          <t>Piyush Joshi</t>
        </is>
      </c>
      <c r="G32" s="2">
        <f>HYPERLINK("https://in.linkedin.com/in/piyush-joshi-278bb243", "https://in.linkedin.com/in/piyush-joshi-278bb243")</f>
        <v/>
      </c>
    </row>
    <row r="33">
      <c r="A33" t="inlineStr">
        <is>
          <t>MARKSANS</t>
        </is>
      </c>
      <c r="B33" s="2">
        <f>HYPERLINK("https://marksanspharma.com", "https://marksanspharma.com")</f>
        <v/>
      </c>
      <c r="C33" s="2">
        <f>HYPERLINK("https://www.linkedin.com/company/marksans-pharma-ltd---india", "https://www.linkedin.com/company/marksans-pharma-ltd---india")</f>
        <v/>
      </c>
      <c r="D33" t="inlineStr">
        <is>
          <t>India</t>
        </is>
      </c>
      <c r="E33" t="inlineStr">
        <is>
          <t>COO - US Operations</t>
        </is>
      </c>
      <c r="F33" t="inlineStr">
        <is>
          <t>Anjani Kumar</t>
        </is>
      </c>
      <c r="G33" s="2">
        <f>HYPERLINK("https://www.linkedin.com/in/anjani-kumar-04908b11b", "https://www.linkedin.com/in/anjani-kumar-04908b11b")</f>
        <v/>
      </c>
    </row>
    <row r="34">
      <c r="A34" t="inlineStr">
        <is>
          <t>DCAL</t>
        </is>
      </c>
      <c r="B34" s="2">
        <f>HYPERLINK("https://imdcal.com", "https://imdcal.com")</f>
        <v/>
      </c>
      <c r="C34" s="2">
        <f>HYPERLINK("https://www.linkedin.com/company/dishman", "https://www.linkedin.com/company/dishman")</f>
        <v/>
      </c>
      <c r="D34" t="inlineStr">
        <is>
          <t>India</t>
        </is>
      </c>
      <c r="E34" t="inlineStr">
        <is>
          <t>Global Vice President (IT) at Dishman Group / Dishman Carbogen Amcis Ltd</t>
        </is>
      </c>
      <c r="F34" t="inlineStr">
        <is>
          <t>Sanjeev Jain</t>
        </is>
      </c>
      <c r="G34" s="2">
        <f>HYPERLINK("https://in.linkedin.com/in/sanjeev-jain-706ba113", "https://in.linkedin.com/in/sanjeev-jain-706ba113")</f>
        <v/>
      </c>
    </row>
    <row r="35">
      <c r="A35" t="inlineStr">
        <is>
          <t>DCAL</t>
        </is>
      </c>
      <c r="B35" s="2">
        <f>HYPERLINK("https://imdcal.com", "https://imdcal.com")</f>
        <v/>
      </c>
      <c r="C35" s="2">
        <f>HYPERLINK("https://www.linkedin.com/company/dishman", "https://www.linkedin.com/company/dishman")</f>
        <v/>
      </c>
      <c r="D35" t="inlineStr">
        <is>
          <t>India</t>
        </is>
      </c>
      <c r="E35" t="inlineStr">
        <is>
          <t>Global Chief Financial Officer (Global CFO)</t>
        </is>
      </c>
      <c r="F35" t="inlineStr">
        <is>
          <t>Harshil Dalal</t>
        </is>
      </c>
      <c r="G35" s="2">
        <f>HYPERLINK("https://in.linkedin.com/in/harshil-dalal-13b86222", "https://in.linkedin.com/in/harshil-dalal-13b86222")</f>
        <v/>
      </c>
    </row>
    <row r="36">
      <c r="A36" t="inlineStr">
        <is>
          <t>DCAL</t>
        </is>
      </c>
      <c r="B36" s="2">
        <f>HYPERLINK("https://imdcal.com", "https://imdcal.com")</f>
        <v/>
      </c>
      <c r="C36" s="2">
        <f>HYPERLINK("https://www.linkedin.com/company/dishman", "https://www.linkedin.com/company/dishman")</f>
        <v/>
      </c>
      <c r="D36" t="inlineStr">
        <is>
          <t>India</t>
        </is>
      </c>
      <c r="E36" t="inlineStr">
        <is>
          <t>General Manager, Dishman Carbogen Amcis Ltd</t>
        </is>
      </c>
      <c r="F36" t="inlineStr">
        <is>
          <t>Mahesh Panchal</t>
        </is>
      </c>
      <c r="G36" s="2">
        <f>HYPERLINK("https://in.linkedin.com/in/mahesh-panchal-21871325a", "https://in.linkedin.com/in/mahesh-panchal-21871325a")</f>
        <v/>
      </c>
    </row>
    <row r="37">
      <c r="A37" t="inlineStr">
        <is>
          <t>DCAL</t>
        </is>
      </c>
      <c r="B37" s="2">
        <f>HYPERLINK("https://imdcal.com", "https://imdcal.com")</f>
        <v/>
      </c>
      <c r="C37" s="2">
        <f>HYPERLINK("https://www.linkedin.com/company/dishman", "https://www.linkedin.com/company/dishman")</f>
        <v/>
      </c>
      <c r="D37" t="inlineStr">
        <is>
          <t>India</t>
        </is>
      </c>
      <c r="E37" t="inlineStr">
        <is>
          <t>DCAL - ASI President</t>
        </is>
      </c>
      <c r="F37" t="inlineStr">
        <is>
          <t>Pathikrit Mukherjee</t>
        </is>
      </c>
      <c r="G37" s="2">
        <f>HYPERLINK("https://in.linkedin.com/in/pathikrit-mukherjee-2948781b1", "https://in.linkedin.com/in/pathikrit-mukherjee-2948781b1")</f>
        <v/>
      </c>
    </row>
    <row r="38">
      <c r="A38" t="inlineStr">
        <is>
          <t>AARTIDRUGS</t>
        </is>
      </c>
      <c r="B38" s="2">
        <f>HYPERLINK("https://www.aartidrugs.co.in", "https://www.aartidrugs.co.in")</f>
        <v/>
      </c>
      <c r="C38" s="2">
        <f>HYPERLINK("https://www.linkedin.com/company/aarti-drugs-limited", "https://www.linkedin.com/company/aarti-drugs-limited")</f>
        <v/>
      </c>
      <c r="D38" t="inlineStr">
        <is>
          <t>India</t>
        </is>
      </c>
      <c r="E38" t="inlineStr">
        <is>
          <t>Managing Director, Aarti Drugs Limited</t>
        </is>
      </c>
      <c r="F38" t="inlineStr">
        <is>
          <t>Rashesh C. Gogri</t>
        </is>
      </c>
      <c r="G38" s="2">
        <f>HYPERLINK("https://in.linkedin.com/in/rashesh-gogri-8691152a", "https://in.linkedin.com/in/rashesh-gogri-8691152a")</f>
        <v/>
      </c>
    </row>
    <row r="39">
      <c r="A39" t="inlineStr">
        <is>
          <t>AARTIDRUGS</t>
        </is>
      </c>
      <c r="B39" s="2">
        <f>HYPERLINK("https://www.aartidrugs.co.in", "https://www.aartidrugs.co.in")</f>
        <v/>
      </c>
      <c r="C39" s="2">
        <f>HYPERLINK("https://www.linkedin.com/company/aarti-drugs-limited", "https://www.linkedin.com/company/aarti-drugs-limited")</f>
        <v/>
      </c>
      <c r="D39" t="inlineStr">
        <is>
          <t>India</t>
        </is>
      </c>
      <c r="E39" t="inlineStr">
        <is>
          <t>Chief Financial Officer / Chief Operating Officer, Aarti Drugs Ltd</t>
        </is>
      </c>
      <c r="F39" t="inlineStr">
        <is>
          <t>Adhish P. Patil</t>
        </is>
      </c>
      <c r="G39" s="2">
        <f>HYPERLINK("https://in.linkedin.com/in/adhishpatil", "https://in.linkedin.com/in/adhishpatil")</f>
        <v/>
      </c>
    </row>
    <row r="40">
      <c r="A40" t="inlineStr">
        <is>
          <t>AARTIDRUGS</t>
        </is>
      </c>
      <c r="B40" s="2">
        <f>HYPERLINK("https://www.aartidrugs.co.in", "https://www.aartidrugs.co.in")</f>
        <v/>
      </c>
      <c r="C40" s="2">
        <f>HYPERLINK("https://www.linkedin.com/company/aarti-drugs-limited", "https://www.linkedin.com/company/aarti-drugs-limited")</f>
        <v/>
      </c>
      <c r="D40" t="inlineStr">
        <is>
          <t>India</t>
        </is>
      </c>
      <c r="E40" t="inlineStr">
        <is>
          <t>Vice President - Finance &amp; Accounts, Aarti Drugs Limited</t>
        </is>
      </c>
      <c r="F40" t="inlineStr">
        <is>
          <t>Anil Pandya</t>
        </is>
      </c>
      <c r="G40" s="2">
        <f>HYPERLINK("https://in.linkedin.com/in/anil-pandya-88a95552", "https://in.linkedin.com/in/anil-pandya-88a95552")</f>
        <v/>
      </c>
    </row>
    <row r="41">
      <c r="A41" t="inlineStr">
        <is>
          <t>AARTIDRUGS</t>
        </is>
      </c>
      <c r="B41" s="2">
        <f>HYPERLINK("https://www.aartidrugs.co.in", "https://www.aartidrugs.co.in")</f>
        <v/>
      </c>
      <c r="C41" s="2">
        <f>HYPERLINK("https://www.linkedin.com/company/aarti-drugs-limited", "https://www.linkedin.com/company/aarti-drugs-limited")</f>
        <v/>
      </c>
      <c r="D41" t="inlineStr">
        <is>
          <t>India</t>
        </is>
      </c>
      <c r="E41" t="inlineStr">
        <is>
          <t>General Manager / Head of International Marketing, Aarti Drugs Limited</t>
        </is>
      </c>
      <c r="F41" t="inlineStr">
        <is>
          <t>Digvijay Jadeja</t>
        </is>
      </c>
      <c r="G41" s="2">
        <f>HYPERLINK("https://in.linkedin.com/in/digvijay-jadeja-40619a4b", "https://in.linkedin.com/in/digvijay-jadeja-40619a4b")</f>
        <v/>
      </c>
    </row>
    <row r="42">
      <c r="A42" t="inlineStr">
        <is>
          <t>AARTIDRUGS</t>
        </is>
      </c>
      <c r="B42" s="2">
        <f>HYPERLINK("https://www.aartidrugs.co.in", "https://www.aartidrugs.co.in")</f>
        <v/>
      </c>
      <c r="C42" s="2">
        <f>HYPERLINK("https://www.linkedin.com/company/aarti-drugs-limited", "https://www.linkedin.com/company/aarti-drugs-limited")</f>
        <v/>
      </c>
      <c r="D42" t="inlineStr">
        <is>
          <t>India</t>
        </is>
      </c>
      <c r="E42" t="inlineStr">
        <is>
          <t>Jt. Managing Director, Aarti Drugs Ltd</t>
        </is>
      </c>
      <c r="F42" t="inlineStr">
        <is>
          <t>Harshit Savla</t>
        </is>
      </c>
      <c r="G42" s="2">
        <f>HYPERLINK("https://in.linkedin.com/in/harshit-savla-b21659180", "https://in.linkedin.com/in/harshit-savla-b21659180")</f>
        <v/>
      </c>
    </row>
    <row r="43">
      <c r="A43" t="inlineStr">
        <is>
          <t>AARTIDRUGS</t>
        </is>
      </c>
      <c r="B43" s="2">
        <f>HYPERLINK("https://www.aartidrugs.co.in", "https://www.aartidrugs.co.in")</f>
        <v/>
      </c>
      <c r="C43" s="2">
        <f>HYPERLINK("https://www.linkedin.com/company/aarti-drugs-limited", "https://www.linkedin.com/company/aarti-drugs-limited")</f>
        <v/>
      </c>
      <c r="D43" t="inlineStr">
        <is>
          <t>India</t>
        </is>
      </c>
      <c r="E43" t="inlineStr">
        <is>
          <t>Head of Inspection Department, Aarti Drugs Limited</t>
        </is>
      </c>
      <c r="F43" t="inlineStr">
        <is>
          <t>Prashant Patil</t>
        </is>
      </c>
      <c r="G43" s="2">
        <f>HYPERLINK("https://in.linkedin.com/in/prashant-patil-89a324189", "https://in.linkedin.com/in/prashant-patil-89a324189")</f>
        <v/>
      </c>
    </row>
    <row r="44">
      <c r="A44" t="inlineStr">
        <is>
          <t>VIYASH</t>
        </is>
      </c>
      <c r="B44" s="2">
        <f>HYPERLINK("https://www.viyash.com", "https://www.viyash.com")</f>
        <v/>
      </c>
      <c r="C44" s="2">
        <f>HYPERLINK("https://www.linkedin.com/company/viyash-life-sciences-pvt-ltd", "https://www.linkedin.com/company/viyash-life-sciences-pvt-ltd")</f>
        <v/>
      </c>
      <c r="D44" t="inlineStr">
        <is>
          <t>India</t>
        </is>
      </c>
      <c r="E44" t="inlineStr">
        <is>
          <t>Chief Financial Officer (CFO)</t>
        </is>
      </c>
      <c r="F44" t="inlineStr">
        <is>
          <t>Ramakant Singani</t>
        </is>
      </c>
      <c r="G44" s="2">
        <f>HYPERLINK("https://in.linkedin.com/in/ramakant-singani-3951ab6", "https://in.linkedin.com/in/ramakant-singani-3951ab6")</f>
        <v/>
      </c>
    </row>
    <row r="45">
      <c r="A45" t="inlineStr">
        <is>
          <t>VIYASH</t>
        </is>
      </c>
      <c r="B45" s="2">
        <f>HYPERLINK("https://www.viyash.com", "https://www.viyash.com")</f>
        <v/>
      </c>
      <c r="C45" s="2">
        <f>HYPERLINK("https://www.linkedin.com/company/viyash-life-sciences-pvt-ltd", "https://www.linkedin.com/company/viyash-life-sciences-pvt-ltd")</f>
        <v/>
      </c>
      <c r="D45" t="inlineStr">
        <is>
          <t>India</t>
        </is>
      </c>
      <c r="E45" t="inlineStr">
        <is>
          <t>Senior Vice President - Marketing &amp; Business Development</t>
        </is>
      </c>
      <c r="F45" t="inlineStr">
        <is>
          <t>Rajkamal Varshney</t>
        </is>
      </c>
      <c r="G45" s="2">
        <f>HYPERLINK("https://in.linkedin.com/in/rajkamal-varshney-b24590175", "https://in.linkedin.com/in/rajkamal-varshney-b24590175")</f>
        <v/>
      </c>
    </row>
    <row r="46">
      <c r="A46" t="inlineStr">
        <is>
          <t>VIYASH</t>
        </is>
      </c>
      <c r="B46" s="2">
        <f>HYPERLINK("https://www.viyash.com", "https://www.viyash.com")</f>
        <v/>
      </c>
      <c r="C46" s="2">
        <f>HYPERLINK("https://www.linkedin.com/company/viyash-life-sciences-pvt-ltd", "https://www.linkedin.com/company/viyash-life-sciences-pvt-ltd")</f>
        <v/>
      </c>
      <c r="D46" t="inlineStr">
        <is>
          <t>India</t>
        </is>
      </c>
      <c r="E46" t="inlineStr">
        <is>
          <t>Senior Vice President - Head SCM (Supply Chain Management)</t>
        </is>
      </c>
      <c r="F46" t="inlineStr">
        <is>
          <t>Jagannatha Reddy</t>
        </is>
      </c>
      <c r="G46" s="2">
        <f>HYPERLINK("https://in.linkedin.com/in/jagannatha-reddy-0907aa187", "https://in.linkedin.com/in/jagannatha-reddy-0907aa187")</f>
        <v/>
      </c>
    </row>
    <row r="47">
      <c r="A47" t="inlineStr">
        <is>
          <t>VIYASH</t>
        </is>
      </c>
      <c r="B47" s="2">
        <f>HYPERLINK("https://www.viyash.com", "https://www.viyash.com")</f>
        <v/>
      </c>
      <c r="C47" s="2">
        <f>HYPERLINK("https://www.linkedin.com/company/viyash-life-sciences-pvt-ltd", "https://www.linkedin.com/company/viyash-life-sciences-pvt-ltd")</f>
        <v/>
      </c>
      <c r="D47" t="inlineStr">
        <is>
          <t>India</t>
        </is>
      </c>
      <c r="E47" t="inlineStr">
        <is>
          <t>Leading Human Resources at Viyash Life Sciences</t>
        </is>
      </c>
      <c r="F47" t="inlineStr">
        <is>
          <t>Srinivas M</t>
        </is>
      </c>
      <c r="G47" s="2">
        <f>HYPERLINK("https://in.linkedin.com/in/srinivas-m-973b4817", "https://in.linkedin.com/in/srinivas-m-973b4817")</f>
        <v/>
      </c>
    </row>
    <row r="48">
      <c r="A48" t="inlineStr">
        <is>
          <t>VIYASH</t>
        </is>
      </c>
      <c r="B48" s="2">
        <f>HYPERLINK("https://www.viyash.com", "https://www.viyash.com")</f>
        <v/>
      </c>
      <c r="C48" s="2">
        <f>HYPERLINK("https://www.linkedin.com/company/viyash-life-sciences-pvt-ltd", "https://www.linkedin.com/company/viyash-life-sciences-pvt-ltd")</f>
        <v/>
      </c>
      <c r="D48" t="inlineStr">
        <is>
          <t>India</t>
        </is>
      </c>
      <c r="E48" t="inlineStr">
        <is>
          <t>Deputy General Manager</t>
        </is>
      </c>
      <c r="F48" t="inlineStr">
        <is>
          <t>Madan Gupta Dasari</t>
        </is>
      </c>
      <c r="G48" s="2">
        <f>HYPERLINK("https://in.linkedin.com/in/madan-gupta-dasari-70391390", "https://in.linkedin.com/in/madan-gupta-dasari-70391390")</f>
        <v/>
      </c>
    </row>
    <row r="49">
      <c r="A49" t="inlineStr">
        <is>
          <t>VIYASH</t>
        </is>
      </c>
      <c r="B49" s="2">
        <f>HYPERLINK("https://www.viyash.com", "https://www.viyash.com")</f>
        <v/>
      </c>
      <c r="C49" s="2">
        <f>HYPERLINK("https://www.linkedin.com/company/viyash-life-sciences-pvt-ltd", "https://www.linkedin.com/company/viyash-life-sciences-pvt-ltd")</f>
        <v/>
      </c>
      <c r="D49" t="inlineStr">
        <is>
          <t>India</t>
        </is>
      </c>
      <c r="E49" t="inlineStr">
        <is>
          <t>Head API R&amp;D</t>
        </is>
      </c>
      <c r="F49" t="inlineStr">
        <is>
          <t>Dr. Pramod Kumar</t>
        </is>
      </c>
      <c r="G49" s="2">
        <f>HYPERLINK("https://in.linkedin.com/in/dr-pramod-kumar-36a14015", "https://in.linkedin.com/in/dr-pramod-kumar-36a14015")</f>
        <v/>
      </c>
    </row>
    <row r="50">
      <c r="A50" t="inlineStr">
        <is>
          <t>VIYASH</t>
        </is>
      </c>
      <c r="B50" s="2">
        <f>HYPERLINK("https://www.viyash.com", "https://www.viyash.com")</f>
        <v/>
      </c>
      <c r="C50" s="2">
        <f>HYPERLINK("https://www.linkedin.com/company/viyash-life-sciences-pvt-ltd", "https://www.linkedin.com/company/viyash-life-sciences-pvt-ltd")</f>
        <v/>
      </c>
      <c r="D50" t="inlineStr">
        <is>
          <t>India</t>
        </is>
      </c>
      <c r="E50" t="inlineStr">
        <is>
          <t>Head Tech.Transfer and Process Development</t>
        </is>
      </c>
      <c r="F50" t="inlineStr">
        <is>
          <t>Dr. V.S.R. Prasad</t>
        </is>
      </c>
      <c r="G50" s="2">
        <f>HYPERLINK("https://in.linkedin.com/in/dr-v-s-r-prasad-089bb115", "https://in.linkedin.com/in/dr-v-s-r-prasad-089bb115")</f>
        <v/>
      </c>
    </row>
    <row r="51">
      <c r="A51" t="inlineStr">
        <is>
          <t>VIYASH</t>
        </is>
      </c>
      <c r="B51" s="2">
        <f>HYPERLINK("https://www.viyash.com", "https://www.viyash.com")</f>
        <v/>
      </c>
      <c r="C51" s="2">
        <f>HYPERLINK("https://www.linkedin.com/company/viyash-life-sciences-pvt-ltd", "https://www.linkedin.com/company/viyash-life-sciences-pvt-ltd")</f>
        <v/>
      </c>
      <c r="D51" t="inlineStr">
        <is>
          <t>India</t>
        </is>
      </c>
      <c r="E51" t="inlineStr">
        <is>
          <t>Head of Analytical Research</t>
        </is>
      </c>
      <c r="F51" t="inlineStr">
        <is>
          <t>Pijush Jana</t>
        </is>
      </c>
      <c r="G51" s="2">
        <f>HYPERLINK("https://in.linkedin.com/in/pijush-jana-1a0176141", "https://in.linkedin.com/in/pijush-jana-1a0176141")</f>
        <v/>
      </c>
    </row>
    <row r="52">
      <c r="A52" t="inlineStr">
        <is>
          <t>VIYASH</t>
        </is>
      </c>
      <c r="B52" s="2">
        <f>HYPERLINK("https://www.viyash.com", "https://www.viyash.com")</f>
        <v/>
      </c>
      <c r="C52" s="2">
        <f>HYPERLINK("https://www.linkedin.com/company/viyash-life-sciences-pvt-ltd", "https://www.linkedin.com/company/viyash-life-sciences-pvt-ltd")</f>
        <v/>
      </c>
      <c r="D52" t="inlineStr">
        <is>
          <t>India</t>
        </is>
      </c>
      <c r="E52" t="inlineStr">
        <is>
          <t>Senior General Manager - API R&amp;D</t>
        </is>
      </c>
      <c r="F52" t="inlineStr">
        <is>
          <t>Dr. Janaki Rama Rao Ravi</t>
        </is>
      </c>
      <c r="G52" s="2">
        <f>HYPERLINK("https://in.linkedin.com/in/dr-janaki-rama-rao-ravi-a3337282", "https://in.linkedin.com/in/dr-janaki-rama-rao-ravi-a3337282")</f>
        <v/>
      </c>
    </row>
    <row r="53">
      <c r="A53" t="inlineStr">
        <is>
          <t>ANURAS</t>
        </is>
      </c>
      <c r="B53" s="2">
        <f>HYPERLINK("https://www.anupamrasayan.com", "https://www.anupamrasayan.com")</f>
        <v/>
      </c>
      <c r="C53" s="2">
        <f>HYPERLINK("https://www.linkedin.com/company/anupam-rasayan-india-ltd", "https://www.linkedin.com/company/anupam-rasayan-india-ltd")</f>
        <v/>
      </c>
      <c r="D53" t="inlineStr">
        <is>
          <t>India</t>
        </is>
      </c>
      <c r="E53" t="inlineStr">
        <is>
          <t>Chief Executive Officer</t>
        </is>
      </c>
      <c r="F53" t="inlineStr">
        <is>
          <t>Gopal Agrawal</t>
        </is>
      </c>
      <c r="G53" s="2">
        <f>HYPERLINK("https://in.linkedin.com/in/gopal-agrawal-ba870315", "https://in.linkedin.com/in/gopal-agrawal-ba870315")</f>
        <v/>
      </c>
    </row>
    <row r="54">
      <c r="A54" t="inlineStr">
        <is>
          <t>ANURAS</t>
        </is>
      </c>
      <c r="B54" s="2">
        <f>HYPERLINK("https://www.anupamrasayan.com", "https://www.anupamrasayan.com")</f>
        <v/>
      </c>
      <c r="C54" s="2">
        <f>HYPERLINK("https://www.linkedin.com/company/anupam-rasayan-india-ltd", "https://www.linkedin.com/company/anupam-rasayan-india-ltd")</f>
        <v/>
      </c>
      <c r="D54" t="inlineStr">
        <is>
          <t>India</t>
        </is>
      </c>
      <c r="E54" t="inlineStr">
        <is>
          <t>Managing Director</t>
        </is>
      </c>
      <c r="F54" t="inlineStr">
        <is>
          <t>Anand Desai</t>
        </is>
      </c>
      <c r="G54" s="2">
        <f>HYPERLINK("https://in.linkedin.com/in/anand-desai-2b78b28", "https://in.linkedin.com/in/anand-desai-2b78b28")</f>
        <v/>
      </c>
    </row>
    <row r="55">
      <c r="A55" t="inlineStr">
        <is>
          <t>ANURAS</t>
        </is>
      </c>
      <c r="B55" s="2">
        <f>HYPERLINK("https://www.anupamrasayan.com", "https://www.anupamrasayan.com")</f>
        <v/>
      </c>
      <c r="C55" s="2">
        <f>HYPERLINK("https://www.linkedin.com/company/anupam-rasayan-india-ltd", "https://www.linkedin.com/company/anupam-rasayan-india-ltd")</f>
        <v/>
      </c>
      <c r="D55" t="inlineStr">
        <is>
          <t>India</t>
        </is>
      </c>
      <c r="E55" t="inlineStr">
        <is>
          <t>President, Business Development (Specialty Business)</t>
        </is>
      </c>
      <c r="F55" t="inlineStr">
        <is>
          <t>Dr. Ujval Vaishnav</t>
        </is>
      </c>
      <c r="G55" s="2">
        <f>HYPERLINK("https://in.linkedin.com/in/ujvalvaishnav", "https://in.linkedin.com/in/ujvalvaishnav")</f>
        <v/>
      </c>
    </row>
    <row r="56">
      <c r="A56" t="inlineStr">
        <is>
          <t>ANURAS</t>
        </is>
      </c>
      <c r="B56" s="2">
        <f>HYPERLINK("https://www.anupamrasayan.com", "https://www.anupamrasayan.com")</f>
        <v/>
      </c>
      <c r="C56" s="2">
        <f>HYPERLINK("https://www.linkedin.com/company/anupam-rasayan-india-ltd", "https://www.linkedin.com/company/anupam-rasayan-india-ltd")</f>
        <v/>
      </c>
      <c r="D56" t="inlineStr">
        <is>
          <t>India</t>
        </is>
      </c>
      <c r="E56" t="inlineStr">
        <is>
          <t>President - Projects</t>
        </is>
      </c>
      <c r="F56" t="inlineStr">
        <is>
          <t>Himanshu Bhatt</t>
        </is>
      </c>
      <c r="G56" s="2">
        <f>HYPERLINK("https://in.linkedin.com/in/himanshu-bhatt-839499287", "https://in.linkedin.com/in/himanshu-bhatt-839499287")</f>
        <v/>
      </c>
    </row>
    <row r="57">
      <c r="A57" t="inlineStr">
        <is>
          <t>ANURAS</t>
        </is>
      </c>
      <c r="B57" s="2">
        <f>HYPERLINK("https://www.anupamrasayan.com", "https://www.anupamrasayan.com")</f>
        <v/>
      </c>
      <c r="C57" s="2">
        <f>HYPERLINK("https://www.linkedin.com/company/anupam-rasayan-india-ltd", "https://www.linkedin.com/company/anupam-rasayan-india-ltd")</f>
        <v/>
      </c>
      <c r="D57" t="inlineStr">
        <is>
          <t>India</t>
        </is>
      </c>
      <c r="E57" t="inlineStr">
        <is>
          <t>Head of Global Sales &amp; Marketing</t>
        </is>
      </c>
      <c r="F57" t="inlineStr">
        <is>
          <t>Ravi Desai</t>
        </is>
      </c>
      <c r="G57" s="2">
        <f>HYPERLINK("https://in.linkedin.com/in/ravi-desai-8bbb8740", "https://in.linkedin.com/in/ravi-desai-8bbb8740")</f>
        <v/>
      </c>
    </row>
    <row r="58">
      <c r="A58" t="inlineStr">
        <is>
          <t>ASTRAZEN</t>
        </is>
      </c>
      <c r="B58" s="2">
        <f>HYPERLINK("https://www.astrazeneca.in", "https://www.astrazeneca.in")</f>
        <v/>
      </c>
      <c r="C58" s="2">
        <f>HYPERLINK("https://www.linkedin.com/company/astrazenecaindia", "https://www.linkedin.com/company/astrazenecaindia")</f>
        <v/>
      </c>
      <c r="D58" t="inlineStr">
        <is>
          <t>India</t>
        </is>
      </c>
      <c r="E58" t="inlineStr">
        <is>
          <t>Country President &amp; Managing Director, AstraZeneca India</t>
        </is>
      </c>
      <c r="F58" t="inlineStr">
        <is>
          <t>Praveen Rao Akkinepally</t>
        </is>
      </c>
      <c r="G58" s="2">
        <f>HYPERLINK("https://in.linkedin.com/in/praveen-rao-akkinepally-90727245", "https://in.linkedin.com/in/praveen-rao-akkinepally-90727245")</f>
        <v/>
      </c>
    </row>
    <row r="59">
      <c r="A59" t="inlineStr">
        <is>
          <t>ASTRAZEN</t>
        </is>
      </c>
      <c r="B59" s="2">
        <f>HYPERLINK("https://www.astrazeneca.in", "https://www.astrazeneca.in")</f>
        <v/>
      </c>
      <c r="C59" s="2">
        <f>HYPERLINK("https://www.linkedin.com/company/astrazenecaindia", "https://www.linkedin.com/company/astrazenecaindia")</f>
        <v/>
      </c>
      <c r="D59" t="inlineStr">
        <is>
          <t>India</t>
        </is>
      </c>
      <c r="E59" t="inlineStr">
        <is>
          <t>Country Medical Director, AstraZeneca India</t>
        </is>
      </c>
      <c r="F59" t="inlineStr">
        <is>
          <t>Dr. Sandeep Arora</t>
        </is>
      </c>
      <c r="G59" s="2">
        <f>HYPERLINK("https://in.linkedin.com/in/dr-sandeep-arora-41a31a47", "https://in.linkedin.com/in/dr-sandeep-arora-41a31a47")</f>
        <v/>
      </c>
    </row>
    <row r="60">
      <c r="A60" t="inlineStr">
        <is>
          <t>ASTRAZEN</t>
        </is>
      </c>
      <c r="B60" s="2">
        <f>HYPERLINK("https://www.astrazeneca.in", "https://www.astrazeneca.in")</f>
        <v/>
      </c>
      <c r="C60" s="2">
        <f>HYPERLINK("https://www.linkedin.com/company/astrazenecaindia", "https://www.linkedin.com/company/astrazenecaindia")</f>
        <v/>
      </c>
      <c r="D60" t="inlineStr">
        <is>
          <t>India</t>
        </is>
      </c>
      <c r="E60" t="inlineStr">
        <is>
          <t>Senior Director, AstraZeneca</t>
        </is>
      </c>
      <c r="F60" t="inlineStr">
        <is>
          <t>Tapankumar Shah</t>
        </is>
      </c>
      <c r="G60" s="2">
        <f>HYPERLINK("https://in.linkedin.com/in/tapankumar-shah-1a5a1716", "https://in.linkedin.com/in/tapankumar-shah-1a5a1716")</f>
        <v/>
      </c>
    </row>
    <row r="61">
      <c r="A61" t="inlineStr">
        <is>
          <t>ASTRAZEN</t>
        </is>
      </c>
      <c r="B61" s="2">
        <f>HYPERLINK("https://www.astrazeneca.in", "https://www.astrazeneca.in")</f>
        <v/>
      </c>
      <c r="C61" s="2">
        <f>HYPERLINK("https://www.linkedin.com/company/astrazenecaindia", "https://www.linkedin.com/company/astrazenecaindia")</f>
        <v/>
      </c>
      <c r="D61" t="inlineStr">
        <is>
          <t>India</t>
        </is>
      </c>
      <c r="E61" t="inlineStr">
        <is>
          <t>SVP, Head of US Oncology, AstraZeneca</t>
        </is>
      </c>
      <c r="F61" t="inlineStr">
        <is>
          <t>Mohit Manrao</t>
        </is>
      </c>
      <c r="G61" s="2">
        <f>HYPERLINK("https://www.linkedin.com/in/mohitmanrao", "https://www.linkedin.com/in/mohitmanrao")</f>
        <v/>
      </c>
    </row>
    <row r="62">
      <c r="A62" t="inlineStr">
        <is>
          <t>ASTRAZEN</t>
        </is>
      </c>
      <c r="B62" s="2">
        <f>HYPERLINK("https://www.astrazeneca.in", "https://www.astrazeneca.in")</f>
        <v/>
      </c>
      <c r="C62" s="2">
        <f>HYPERLINK("https://www.linkedin.com/company/astrazenecaindia", "https://www.linkedin.com/company/astrazenecaindia")</f>
        <v/>
      </c>
      <c r="D62" t="inlineStr">
        <is>
          <t>India</t>
        </is>
      </c>
      <c r="E62" t="inlineStr">
        <is>
          <t>Head – Clinical Trials / RWE, Publications &amp; ..., AstraZeneca</t>
        </is>
      </c>
      <c r="F62" t="inlineStr">
        <is>
          <t>Amit Kumar</t>
        </is>
      </c>
      <c r="G62" s="2">
        <f>HYPERLINK("https://in.linkedin.com/in/amit-kumar-76b16886", "https://in.linkedin.com/in/amit-kumar-76b16886")</f>
        <v/>
      </c>
    </row>
    <row r="63">
      <c r="A63" t="inlineStr">
        <is>
          <t>ASTRAZEN</t>
        </is>
      </c>
      <c r="B63" s="2">
        <f>HYPERLINK("https://www.astrazeneca.in", "https://www.astrazeneca.in")</f>
        <v/>
      </c>
      <c r="C63" s="2">
        <f>HYPERLINK("https://www.linkedin.com/company/astrazenecaindia", "https://www.linkedin.com/company/astrazenecaindia")</f>
        <v/>
      </c>
      <c r="D63" t="inlineStr">
        <is>
          <t>India</t>
        </is>
      </c>
      <c r="E63" t="inlineStr">
        <is>
          <t>Associate Director, Statistical Programming, AstraZeneca</t>
        </is>
      </c>
      <c r="F63" t="inlineStr">
        <is>
          <t>Vidya Raja</t>
        </is>
      </c>
      <c r="G63" s="2">
        <f>HYPERLINK("https://in.linkedin.com/in/vidya-raja-23697835", "https://in.linkedin.com/in/vidya-raja-23697835")</f>
        <v/>
      </c>
    </row>
    <row r="64">
      <c r="A64" t="inlineStr">
        <is>
          <t>ASTRAZEN</t>
        </is>
      </c>
      <c r="B64" s="2">
        <f>HYPERLINK("https://www.astrazeneca.in", "https://www.astrazeneca.in")</f>
        <v/>
      </c>
      <c r="C64" s="2">
        <f>HYPERLINK("https://www.linkedin.com/company/astrazenecaindia", "https://www.linkedin.com/company/astrazenecaindia")</f>
        <v/>
      </c>
      <c r="D64" t="inlineStr">
        <is>
          <t>India</t>
        </is>
      </c>
      <c r="E64" t="inlineStr">
        <is>
          <t>Associate Director - Patient Safety (India &amp; Asia Frontier), AstraZeneca</t>
        </is>
      </c>
      <c r="F64" t="inlineStr">
        <is>
          <t>Neha Sharma</t>
        </is>
      </c>
      <c r="G64" s="2">
        <f>HYPERLINK("https://in.linkedin.com/in/neha-sharma-42924418", "https://in.linkedin.com/in/neha-sharma-42924418")</f>
        <v/>
      </c>
    </row>
    <row r="65">
      <c r="A65" t="inlineStr">
        <is>
          <t>ASTRAZEN</t>
        </is>
      </c>
      <c r="B65" s="2">
        <f>HYPERLINK("https://www.astrazeneca.in", "https://www.astrazeneca.in")</f>
        <v/>
      </c>
      <c r="C65" s="2">
        <f>HYPERLINK("https://www.linkedin.com/company/astrazenecaindia", "https://www.linkedin.com/company/astrazenecaindia")</f>
        <v/>
      </c>
      <c r="D65" t="inlineStr">
        <is>
          <t>India</t>
        </is>
      </c>
      <c r="E65" t="inlineStr">
        <is>
          <t>Director - Site Management &amp; Monitoring, AstraZeneca</t>
        </is>
      </c>
      <c r="F65" t="inlineStr">
        <is>
          <t>Dr. Santosh Kadam</t>
        </is>
      </c>
      <c r="G65" s="2">
        <f>HYPERLINK("https://in.linkedin.com/in/drkadam", "https://in.linkedin.com/in/drkadam")</f>
        <v/>
      </c>
    </row>
    <row r="66">
      <c r="A66" t="inlineStr">
        <is>
          <t>ASTRAZEN</t>
        </is>
      </c>
      <c r="B66" s="2">
        <f>HYPERLINK("https://www.astrazeneca.in", "https://www.astrazeneca.in")</f>
        <v/>
      </c>
      <c r="C66" s="2">
        <f>HYPERLINK("https://www.linkedin.com/company/astrazenecaindia", "https://www.linkedin.com/company/astrazenecaindia")</f>
        <v/>
      </c>
      <c r="D66" t="inlineStr">
        <is>
          <t>India</t>
        </is>
      </c>
      <c r="E66" t="inlineStr">
        <is>
          <t>Associate Director, Data Management, AstraZeneca India</t>
        </is>
      </c>
      <c r="F66" t="inlineStr">
        <is>
          <t>Twinkle Juneja</t>
        </is>
      </c>
      <c r="G66" s="2">
        <f>HYPERLINK("https://in.linkedin.com/in/twinkle-juneja-015b8266", "https://in.linkedin.com/in/twinkle-juneja-015b8266")</f>
        <v/>
      </c>
    </row>
    <row r="67">
      <c r="A67" t="inlineStr">
        <is>
          <t>ASTRAZEN</t>
        </is>
      </c>
      <c r="B67" s="2">
        <f>HYPERLINK("https://www.astrazeneca.in", "https://www.astrazeneca.in")</f>
        <v/>
      </c>
      <c r="C67" s="2">
        <f>HYPERLINK("https://www.linkedin.com/company/astrazenecaindia", "https://www.linkedin.com/company/astrazenecaindia")</f>
        <v/>
      </c>
      <c r="D67" t="inlineStr">
        <is>
          <t>India</t>
        </is>
      </c>
      <c r="E67" t="inlineStr">
        <is>
          <t>HR Services Director - APAC, AstraZeneca</t>
        </is>
      </c>
      <c r="F67" t="inlineStr">
        <is>
          <t>Jagannathan Sekar</t>
        </is>
      </c>
      <c r="G67" s="2">
        <f>HYPERLINK("https://in.linkedin.com/in/jagannathan-sekar-7bab7a3", "https://in.linkedin.com/in/jagannathan-sekar-7bab7a3")</f>
        <v/>
      </c>
    </row>
    <row r="68">
      <c r="A68" t="inlineStr">
        <is>
          <t>COHANCE</t>
        </is>
      </c>
      <c r="B68" s="2">
        <f>HYPERLINK("https://www.cohance.com", "https://www.cohance.com")</f>
        <v/>
      </c>
      <c r="C68" s="2">
        <f>HYPERLINK("https://www.linkedin.com/company/cohance-lifesciences", "https://www.linkedin.com/company/cohance-lifesciences")</f>
        <v/>
      </c>
      <c r="D68" t="inlineStr">
        <is>
          <t>India</t>
        </is>
      </c>
      <c r="E68" t="inlineStr">
        <is>
          <t>Chairman &amp; Group CEO, Cohance Lifesciences</t>
        </is>
      </c>
      <c r="F68" t="inlineStr">
        <is>
          <t>Umang Vohra</t>
        </is>
      </c>
      <c r="G68" s="2">
        <f>HYPERLINK("https://in.linkedin.com/in/umangvohra", "https://in.linkedin.com/in/umangvohra")</f>
        <v/>
      </c>
    </row>
    <row r="69">
      <c r="A69" t="inlineStr">
        <is>
          <t>COHANCE</t>
        </is>
      </c>
      <c r="B69" s="2">
        <f>HYPERLINK("https://www.cohance.com", "https://www.cohance.com")</f>
        <v/>
      </c>
      <c r="C69" s="2">
        <f>HYPERLINK("https://www.linkedin.com/company/cohance-lifesciences", "https://www.linkedin.com/company/cohance-lifesciences")</f>
        <v/>
      </c>
      <c r="D69" t="inlineStr">
        <is>
          <t>India</t>
        </is>
      </c>
      <c r="E69" t="inlineStr">
        <is>
          <t>Chief Executive Officer – API Plus Business, Cohance Lifesciences</t>
        </is>
      </c>
      <c r="F69" t="inlineStr">
        <is>
          <t>Gunjan Singh</t>
        </is>
      </c>
      <c r="G69" s="2">
        <f>HYPERLINK("https://in.linkedin.com/in/singhgunjan", "https://in.linkedin.com/in/singhgunjan")</f>
        <v/>
      </c>
    </row>
    <row r="70">
      <c r="A70" t="inlineStr">
        <is>
          <t>COHANCE</t>
        </is>
      </c>
      <c r="B70" s="2">
        <f>HYPERLINK("https://www.cohance.com", "https://www.cohance.com")</f>
        <v/>
      </c>
      <c r="C70" s="2">
        <f>HYPERLINK("https://www.linkedin.com/company/cohance-lifesciences", "https://www.linkedin.com/company/cohance-lifesciences")</f>
        <v/>
      </c>
      <c r="D70" t="inlineStr">
        <is>
          <t>India</t>
        </is>
      </c>
      <c r="E70" t="inlineStr">
        <is>
          <t>Chief Operating Officer, Cohance Lifesciences</t>
        </is>
      </c>
      <c r="F70" t="inlineStr">
        <is>
          <t>Somesh Sharma, PhD, MBA</t>
        </is>
      </c>
      <c r="G70" s="2">
        <f>HYPERLINK("https://in.linkedin.com/in/sharmasomesh71", "https://in.linkedin.com/in/sharmasomesh71")</f>
        <v/>
      </c>
    </row>
    <row r="71">
      <c r="A71" t="inlineStr">
        <is>
          <t>COHANCE</t>
        </is>
      </c>
      <c r="B71" s="2">
        <f>HYPERLINK("https://www.cohance.com", "https://www.cohance.com")</f>
        <v/>
      </c>
      <c r="C71" s="2">
        <f>HYPERLINK("https://www.linkedin.com/company/cohance-lifesciences", "https://www.linkedin.com/company/cohance-lifesciences")</f>
        <v/>
      </c>
      <c r="D71" t="inlineStr">
        <is>
          <t>India</t>
        </is>
      </c>
      <c r="E71" t="inlineStr">
        <is>
          <t>President of Operations, Cohance Lifesciences</t>
        </is>
      </c>
      <c r="F71" t="inlineStr">
        <is>
          <t>MSNReddy Reddy</t>
        </is>
      </c>
      <c r="G71" s="2">
        <f>HYPERLINK("https://in.linkedin.com/in/msnreddy-reddy-423022300", "https://in.linkedin.com/in/msnreddy-reddy-423022300")</f>
        <v/>
      </c>
    </row>
    <row r="72">
      <c r="A72" t="inlineStr">
        <is>
          <t>COHANCE</t>
        </is>
      </c>
      <c r="B72" s="2">
        <f>HYPERLINK("https://www.cohance.com", "https://www.cohance.com")</f>
        <v/>
      </c>
      <c r="C72" s="2">
        <f>HYPERLINK("https://www.linkedin.com/company/cohance-lifesciences", "https://www.linkedin.com/company/cohance-lifesciences")</f>
        <v/>
      </c>
      <c r="D72" t="inlineStr">
        <is>
          <t>India</t>
        </is>
      </c>
      <c r="E72" t="inlineStr">
        <is>
          <t>Managing Director &amp; CEO, Cohance Lifesciences</t>
        </is>
      </c>
      <c r="F72" t="inlineStr">
        <is>
          <t>Dr. V. Prasada Raju</t>
        </is>
      </c>
      <c r="G72" s="2">
        <f>HYPERLINK("https://in.linkedin.com/in/dr-prasada-raju-v-b5073bb8", "https://in.linkedin.com/in/dr-prasada-raju-v-b5073bb8")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2026-08-03T09:17:38Z</dcterms:created>
  <dcterms:modified xmlns:dcterms="http://purl.org/dc/terms/" xmlns:xsi="http://www.w3.org/2001/XMLSchema-instance" xsi:type="dcterms:W3CDTF">2026-08-03T09:17:38Z</dcterms:modified>
</cp:coreProperties>
</file>