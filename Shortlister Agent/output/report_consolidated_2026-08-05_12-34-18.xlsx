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font>
    <font>
      <color rgb="000563C1"/>
      <u val="single"/>
    </font>
    <font>
      <b val="1"/>
      <color rgb="000F5132"/>
    </font>
    <font>
      <name val="Arial"/>
      <b val="1"/>
      <color rgb="00FFFFFF"/>
      <sz val="12"/>
    </font>
    <font>
      <name val="Arial"/>
      <b val="1"/>
      <color rgb="002F5496"/>
      <sz val="10"/>
    </font>
    <font>
      <name val="Arial"/>
      <sz val="10"/>
    </font>
    <font>
      <name val="Arial"/>
      <color rgb="000563C1"/>
      <sz val="10"/>
      <u val="single"/>
    </font>
  </fonts>
  <fills count="7">
    <fill>
      <patternFill/>
    </fill>
    <fill>
      <patternFill patternType="gray125"/>
    </fill>
    <fill>
      <patternFill patternType="solid">
        <fgColor rgb="001F2937"/>
        <bgColor rgb="001F2937"/>
      </patternFill>
    </fill>
    <fill>
      <patternFill patternType="solid">
        <fgColor rgb="00D1E7DD"/>
        <bgColor rgb="00D1E7DD"/>
      </patternFill>
    </fill>
    <fill>
      <patternFill patternType="solid">
        <fgColor rgb="002F5496"/>
      </patternFill>
    </fill>
    <fill>
      <patternFill patternType="solid">
        <fgColor rgb="00D6E4F0"/>
      </patternFill>
    </fill>
    <fill>
      <patternFill patternType="solid">
        <fgColor rgb="00F2F2F2"/>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0" fillId="4" borderId="1" pivotButton="0" quotePrefix="0" xfId="0"/>
    <xf numFmtId="0" fontId="5" fillId="5" borderId="1" applyAlignment="1" pivotButton="0" quotePrefix="0" xfId="0">
      <alignment horizontal="center" vertical="center"/>
    </xf>
    <xf numFmtId="0" fontId="6" fillId="0" borderId="1" applyAlignment="1" pivotButton="0" quotePrefix="0" xfId="0">
      <alignment horizontal="center" vertical="center"/>
    </xf>
    <xf numFmtId="0" fontId="6" fillId="0" borderId="1" applyAlignment="1" pivotButton="0" quotePrefix="0" xfId="0">
      <alignment vertical="center" wrapText="1"/>
    </xf>
    <xf numFmtId="0" fontId="7" fillId="0" borderId="1" applyAlignment="1" pivotButton="0" quotePrefix="0" xfId="0">
      <alignment vertical="center" wrapText="1"/>
    </xf>
    <xf numFmtId="0" fontId="6" fillId="6" borderId="1" applyAlignment="1" pivotButton="0" quotePrefix="0" xfId="0">
      <alignment horizontal="center" vertical="center"/>
    </xf>
    <xf numFmtId="0" fontId="6" fillId="6" borderId="1" applyAlignment="1" pivotButton="0" quotePrefix="0" xfId="0">
      <alignment vertical="center" wrapText="1"/>
    </xf>
    <xf numFmtId="0" fontId="7" fillId="6"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linkedin.com/in/saumya-engineer-6a8803206" TargetMode="External" Id="rId1"/><Relationship Type="http://schemas.openxmlformats.org/officeDocument/2006/relationships/hyperlink" Target="https://www.linkedin.com/company/astralpipesofficial" TargetMode="External" Id="rId2"/><Relationship Type="http://schemas.openxmlformats.org/officeDocument/2006/relationships/hyperlink" Target="https://uk.linkedin.com/in/paul-houghton-4b67b730" TargetMode="External" Id="rId3"/><Relationship Type="http://schemas.openxmlformats.org/officeDocument/2006/relationships/hyperlink" Target="https://www.linkedin.com/company/astralpipesofficial" TargetMode="External" Id="rId4"/><Relationship Type="http://schemas.openxmlformats.org/officeDocument/2006/relationships/hyperlink" Target="https://in.linkedin.com/in/kairav-engineer-79682530" TargetMode="External" Id="rId5"/><Relationship Type="http://schemas.openxmlformats.org/officeDocument/2006/relationships/hyperlink" Target="https://www.linkedin.com/company/astralpipesofficial" TargetMode="External" Id="rId6"/><Relationship Type="http://schemas.openxmlformats.org/officeDocument/2006/relationships/hyperlink" Target="https://in.linkedin.com/in/hiranand-savlani-816b994b" TargetMode="External" Id="rId7"/><Relationship Type="http://schemas.openxmlformats.org/officeDocument/2006/relationships/hyperlink" Target="https://www.linkedin.com/company/astralpipesofficial" TargetMode="External" Id="rId8"/><Relationship Type="http://schemas.openxmlformats.org/officeDocument/2006/relationships/hyperlink" Target="https://in.linkedin.com/in/vikas-sharma-20970921" TargetMode="External" Id="rId9"/><Relationship Type="http://schemas.openxmlformats.org/officeDocument/2006/relationships/hyperlink" Target="https://www.linkedin.com/company/astralpipesofficial" TargetMode="External" Id="rId10"/><Relationship Type="http://schemas.openxmlformats.org/officeDocument/2006/relationships/hyperlink" Target="https://in.linkedin.com/in/mithun-chittilappilly-6834a2197" TargetMode="External" Id="rId11"/><Relationship Type="http://schemas.openxmlformats.org/officeDocument/2006/relationships/hyperlink" Target="https://www.linkedin.com/company/v-guard" TargetMode="External" Id="rId12"/><Relationship Type="http://schemas.openxmlformats.org/officeDocument/2006/relationships/hyperlink" Target="https://in.linkedin.com/in/vikas-tak-35a16ab" TargetMode="External" Id="rId13"/><Relationship Type="http://schemas.openxmlformats.org/officeDocument/2006/relationships/hyperlink" Target="https://www.linkedin.com/company/v-guard" TargetMode="External" Id="rId14"/><Relationship Type="http://schemas.openxmlformats.org/officeDocument/2006/relationships/hyperlink" Target="https://in.linkedin.com/in/saleesh-sekhar-330077a7" TargetMode="External" Id="rId15"/><Relationship Type="http://schemas.openxmlformats.org/officeDocument/2006/relationships/hyperlink" Target="https://www.linkedin.com/company/v-guard" TargetMode="External" Id="rId16"/><Relationship Type="http://schemas.openxmlformats.org/officeDocument/2006/relationships/hyperlink" Target="https://in.linkedin.com/in/sudarshan-kasturi-6a60157" TargetMode="External" Id="rId17"/><Relationship Type="http://schemas.openxmlformats.org/officeDocument/2006/relationships/hyperlink" Target="https://www.linkedin.com/company/v-guard" TargetMode="External" Id="rId18"/><Relationship Type="http://schemas.openxmlformats.org/officeDocument/2006/relationships/hyperlink" Target="https://in.linkedin.com/in/ramachandranvenketaraman" TargetMode="External" Id="rId19"/><Relationship Type="http://schemas.openxmlformats.org/officeDocument/2006/relationships/hyperlink" Target="https://www.linkedin.com/company/v-guard" TargetMode="External" Id="rId20"/><Relationship Type="http://schemas.openxmlformats.org/officeDocument/2006/relationships/hyperlink" Target="https://in.linkedin.com/in/karthikeyan-s-5ba2887" TargetMode="External" Id="rId21"/><Relationship Type="http://schemas.openxmlformats.org/officeDocument/2006/relationships/hyperlink" Target="https://www.linkedin.com/company/v-guard" TargetMode="External" Id="rId22"/><Relationship Type="http://schemas.openxmlformats.org/officeDocument/2006/relationships/hyperlink" Target="https://in.linkedin.com/in/sreekumar-achuthan-nair-339a2a262" TargetMode="External" Id="rId23"/><Relationship Type="http://schemas.openxmlformats.org/officeDocument/2006/relationships/hyperlink" Target="https://www.linkedin.com/company/v-guard" TargetMode="External" Id="rId24"/><Relationship Type="http://schemas.openxmlformats.org/officeDocument/2006/relationships/hyperlink" Target="https://in.linkedin.com/in/suresh-balakrishnan-547432269" TargetMode="External" Id="rId25"/><Relationship Type="http://schemas.openxmlformats.org/officeDocument/2006/relationships/hyperlink" Target="https://www.linkedin.com/company/v-guard" TargetMode="External" Id="rId26"/><Relationship Type="http://schemas.openxmlformats.org/officeDocument/2006/relationships/hyperlink" Target="https://in.linkedin.com/in/gauravaroraa65710" TargetMode="External" Id="rId27"/><Relationship Type="http://schemas.openxmlformats.org/officeDocument/2006/relationships/hyperlink" Target="https://www.linkedin.com/company/v-guard" TargetMode="External" Id="rId28"/><Relationship Type="http://schemas.openxmlformats.org/officeDocument/2006/relationships/hyperlink" Target="https://in.linkedin.com/in/dr-ramesh-s-569150223" TargetMode="External" Id="rId29"/><Relationship Type="http://schemas.openxmlformats.org/officeDocument/2006/relationships/hyperlink" Target="https://www.linkedin.com/company/sundram-fasteners" TargetMode="External" Id="rId30"/><Relationship Type="http://schemas.openxmlformats.org/officeDocument/2006/relationships/hyperlink" Target="https://in.linkedin.com/in/krishnan-ramanujan-7246936" TargetMode="External" Id="rId31"/><Relationship Type="http://schemas.openxmlformats.org/officeDocument/2006/relationships/hyperlink" Target="https://www.linkedin.com/company/sundram-fasteners" TargetMode="External" Id="rId32"/><Relationship Type="http://schemas.openxmlformats.org/officeDocument/2006/relationships/hyperlink" Target="https://in.linkedin.com/in/ganesh-ramamoorthy-17b960b7" TargetMode="External" Id="rId33"/><Relationship Type="http://schemas.openxmlformats.org/officeDocument/2006/relationships/hyperlink" Target="https://www.linkedin.com/company/sundram-fasteners" TargetMode="External" Id="rId34"/><Relationship Type="http://schemas.openxmlformats.org/officeDocument/2006/relationships/hyperlink" Target="https://in.linkedin.com/in/m-sundaram-srinivasan-648a5ba" TargetMode="External" Id="rId35"/><Relationship Type="http://schemas.openxmlformats.org/officeDocument/2006/relationships/hyperlink" Target="https://www.linkedin.com/company/sundram-fasteners" TargetMode="External" Id="rId36"/><Relationship Type="http://schemas.openxmlformats.org/officeDocument/2006/relationships/hyperlink" Target="https://in.linkedin.com/in/p-padmanabhan-45b11bb" TargetMode="External" Id="rId37"/><Relationship Type="http://schemas.openxmlformats.org/officeDocument/2006/relationships/hyperlink" Target="https://www.linkedin.com/company/sundram-fasteners" TargetMode="External" Id="rId38"/><Relationship Type="http://schemas.openxmlformats.org/officeDocument/2006/relationships/hyperlink" Target="https://in.linkedin.com/in/vaitheeshkumar-subramanian-47708b113" TargetMode="External" Id="rId39"/><Relationship Type="http://schemas.openxmlformats.org/officeDocument/2006/relationships/hyperlink" Target="https://www.linkedin.com/company/sundram-fasteners" TargetMode="External" Id="rId40"/><Relationship Type="http://schemas.openxmlformats.org/officeDocument/2006/relationships/hyperlink" Target="https://in.linkedin.com/in/s-v-mahesh-b64a745" TargetMode="External" Id="rId41"/><Relationship Type="http://schemas.openxmlformats.org/officeDocument/2006/relationships/hyperlink" Target="https://www.linkedin.com/company/sundram-fasteners" TargetMode="External" Id="rId42"/><Relationship Type="http://schemas.openxmlformats.org/officeDocument/2006/relationships/hyperlink" Target="https://in.linkedin.com/in/seshadri-ramanujam-9411178b" TargetMode="External" Id="rId43"/><Relationship Type="http://schemas.openxmlformats.org/officeDocument/2006/relationships/hyperlink" Target="https://www.linkedin.com/company/sundram-fasteners" TargetMode="External" Id="rId44"/><Relationship Type="http://schemas.openxmlformats.org/officeDocument/2006/relationships/hyperlink" Target="https://in.linkedin.com/in/rajendran-g-56b86420a" TargetMode="External" Id="rId45"/><Relationship Type="http://schemas.openxmlformats.org/officeDocument/2006/relationships/hyperlink" Target="https://www.linkedin.com/company/sundram-fasteners" TargetMode="External" Id="rId46"/><Relationship Type="http://schemas.openxmlformats.org/officeDocument/2006/relationships/hyperlink" Target="https://in.linkedin.com/in/atul-kumar-agrawal-17b76319b" TargetMode="External" Id="rId47"/><Relationship Type="http://schemas.openxmlformats.org/officeDocument/2006/relationships/hyperlink" Target="https://www.linkedin.com/company/sundram-fasteners" TargetMode="External" Id="rId48"/><Relationship Type="http://schemas.openxmlformats.org/officeDocument/2006/relationships/hyperlink" Target="https://in.linkedin.com/in/dhiraj-mohan-74958411" TargetMode="External" Id="rId49"/><Relationship Type="http://schemas.openxmlformats.org/officeDocument/2006/relationships/hyperlink" Target="https://www.linkedin.com/company/jbm-group" TargetMode="External" Id="rId50"/><Relationship Type="http://schemas.openxmlformats.org/officeDocument/2006/relationships/hyperlink" Target="https://in.linkedin.com/in/vivek-gupta-61018422" TargetMode="External" Id="rId51"/><Relationship Type="http://schemas.openxmlformats.org/officeDocument/2006/relationships/hyperlink" Target="https://www.linkedin.com/company/jbm-group" TargetMode="External" Id="rId52"/><Relationship Type="http://schemas.openxmlformats.org/officeDocument/2006/relationships/hyperlink" Target="https://in.linkedin.com/in/daljit-singh-897955232" TargetMode="External" Id="rId53"/><Relationship Type="http://schemas.openxmlformats.org/officeDocument/2006/relationships/hyperlink" Target="https://www.linkedin.com/company/jbm-group" TargetMode="External" Id="rId54"/><Relationship Type="http://schemas.openxmlformats.org/officeDocument/2006/relationships/hyperlink" Target="https://in.linkedin.com/in/rajiv-sahdev-7a436410" TargetMode="External" Id="rId55"/><Relationship Type="http://schemas.openxmlformats.org/officeDocument/2006/relationships/hyperlink" Target="https://www.linkedin.com/company/jbm-group" TargetMode="External" Id="rId56"/><Relationship Type="http://schemas.openxmlformats.org/officeDocument/2006/relationships/hyperlink" Target="https://in.linkedin.com/in/sanjay-rusia-85a45442" TargetMode="External" Id="rId57"/><Relationship Type="http://schemas.openxmlformats.org/officeDocument/2006/relationships/hyperlink" Target="https://www.linkedin.com/company/jbm-group" TargetMode="External" Id="rId58"/><Relationship Type="http://schemas.openxmlformats.org/officeDocument/2006/relationships/hyperlink" Target="https://in.linkedin.com/in/nishant-arya-227868a" TargetMode="External" Id="rId59"/><Relationship Type="http://schemas.openxmlformats.org/officeDocument/2006/relationships/hyperlink" Target="https://www.linkedin.com/company/jbm-group" TargetMode="External" Id="rId60"/><Relationship Type="http://schemas.openxmlformats.org/officeDocument/2006/relationships/hyperlink" Target="https://in.linkedin.com/in/deepakthakur251" TargetMode="External" Id="rId61"/><Relationship Type="http://schemas.openxmlformats.org/officeDocument/2006/relationships/hyperlink" Target="https://www.linkedin.com/company/jbm-group" TargetMode="External" Id="rId62"/><Relationship Type="http://schemas.openxmlformats.org/officeDocument/2006/relationships/hyperlink" Target="https://in.linkedin.com/in/praveen-malik-99457a23" TargetMode="External" Id="rId63"/><Relationship Type="http://schemas.openxmlformats.org/officeDocument/2006/relationships/hyperlink" Target="https://www.linkedin.com/company/jbm-group" TargetMode="External" Id="rId64"/><Relationship Type="http://schemas.openxmlformats.org/officeDocument/2006/relationships/hyperlink" Target="https://in.linkedin.com/in/mayankvarma" TargetMode="External" Id="rId65"/><Relationship Type="http://schemas.openxmlformats.org/officeDocument/2006/relationships/hyperlink" Target="https://www.linkedin.com/company/jbm-group" TargetMode="External" Id="rId66"/><Relationship Type="http://schemas.openxmlformats.org/officeDocument/2006/relationships/hyperlink" Target="https://in.linkedin.com/in/nandkishor-borse-b027a6249" TargetMode="External" Id="rId67"/><Relationship Type="http://schemas.openxmlformats.org/officeDocument/2006/relationships/hyperlink" Target="https://www.linkedin.com/company/jbm-group" TargetMode="External" Id="rId68"/><Relationship Type="http://schemas.openxmlformats.org/officeDocument/2006/relationships/hyperlink" Target="https://in.linkedin.com/in/ashok-minda-083671229" TargetMode="External" Id="rId69"/><Relationship Type="http://schemas.openxmlformats.org/officeDocument/2006/relationships/hyperlink" Target="https://www.linkedin.com/company/sparkminda" TargetMode="External" Id="rId70"/><Relationship Type="http://schemas.openxmlformats.org/officeDocument/2006/relationships/hyperlink" Target="https://in.linkedin.com/in/aakash-minda-638a1121" TargetMode="External" Id="rId71"/><Relationship Type="http://schemas.openxmlformats.org/officeDocument/2006/relationships/hyperlink" Target="https://www.linkedin.com/company/sparkminda" TargetMode="External" Id="rId72"/><Relationship Type="http://schemas.openxmlformats.org/officeDocument/2006/relationships/hyperlink" Target="https://in.linkedin.com/in/sumit-doseja-80442016" TargetMode="External" Id="rId73"/><Relationship Type="http://schemas.openxmlformats.org/officeDocument/2006/relationships/hyperlink" Target="https://www.linkedin.com/company/sparkminda" TargetMode="External" Id="rId74"/><Relationship Type="http://schemas.openxmlformats.org/officeDocument/2006/relationships/hyperlink" Target="https://in.linkedin.com/in/sunil-goel-4b275b24" TargetMode="External" Id="rId75"/><Relationship Type="http://schemas.openxmlformats.org/officeDocument/2006/relationships/hyperlink" Target="https://www.linkedin.com/company/sparkminda" TargetMode="External" Id="rId76"/><Relationship Type="http://schemas.openxmlformats.org/officeDocument/2006/relationships/hyperlink" Target="https://in.linkedin.com/in/deepak-arora-57655215" TargetMode="External" Id="rId77"/><Relationship Type="http://schemas.openxmlformats.org/officeDocument/2006/relationships/hyperlink" Target="https://www.linkedin.com/company/sparkminda" TargetMode="External" Id="rId78"/><Relationship Type="http://schemas.openxmlformats.org/officeDocument/2006/relationships/hyperlink" Target="https://in.linkedin.com/in/nimesh-shukla-2a50a7a4" TargetMode="External" Id="rId79"/><Relationship Type="http://schemas.openxmlformats.org/officeDocument/2006/relationships/hyperlink" Target="https://www.linkedin.com/company/rr-sharamik" TargetMode="External" Id="rId80"/><Relationship Type="http://schemas.openxmlformats.org/officeDocument/2006/relationships/hyperlink" Target="https://in.linkedin.com/in/sunil-kumar-singh-ba25b436" TargetMode="External" Id="rId81"/><Relationship Type="http://schemas.openxmlformats.org/officeDocument/2006/relationships/hyperlink" Target="https://www.linkedin.com/company/rr-sharamik" TargetMode="External" Id="rId82"/><Relationship Type="http://schemas.openxmlformats.org/officeDocument/2006/relationships/hyperlink" Target="https://in.linkedin.com/in/vijay-chandak-ramrat-chandak-ramratna-385169162" TargetMode="External" Id="rId83"/><Relationship Type="http://schemas.openxmlformats.org/officeDocument/2006/relationships/hyperlink" Target="https://www.linkedin.com/company/rr-sharamik" TargetMode="External" Id="rId84"/><Relationship Type="http://schemas.openxmlformats.org/officeDocument/2006/relationships/hyperlink" Target="https://in.linkedin.com/in/nitin-baheti-450a7b324" TargetMode="External" Id="rId85"/><Relationship Type="http://schemas.openxmlformats.org/officeDocument/2006/relationships/hyperlink" Target="https://www.linkedin.com/company/rr-sharamik" TargetMode="External" Id="rId86"/><Relationship Type="http://schemas.openxmlformats.org/officeDocument/2006/relationships/hyperlink" Target="https://in.linkedin.com/in/sudhir-masaji-a8429b35" TargetMode="External" Id="rId87"/><Relationship Type="http://schemas.openxmlformats.org/officeDocument/2006/relationships/hyperlink" Target="https://www.linkedin.com/company/rr-sharamik" TargetMode="External" Id="rId88"/><Relationship Type="http://schemas.openxmlformats.org/officeDocument/2006/relationships/hyperlink" Target="https://in.linkedin.com/in/saurabh-gupta-45166ab1" TargetMode="External" Id="rId89"/><Relationship Type="http://schemas.openxmlformats.org/officeDocument/2006/relationships/hyperlink" Target="https://www.linkedin.com/company/rr-sharamik" TargetMode="External" Id="rId90"/><Relationship Type="http://schemas.openxmlformats.org/officeDocument/2006/relationships/hyperlink" Target="https://in.linkedin.com/in/jigar-vaghela-86483b343" TargetMode="External" Id="rId91"/><Relationship Type="http://schemas.openxmlformats.org/officeDocument/2006/relationships/hyperlink" Target="https://www.linkedin.com/company/rr-sharamik" TargetMode="External" Id="rId92"/><Relationship Type="http://schemas.openxmlformats.org/officeDocument/2006/relationships/hyperlink" Target="https://in.linkedin.com/in/rajesh-raghavan-900b8710" TargetMode="External" Id="rId93"/><Relationship Type="http://schemas.openxmlformats.org/officeDocument/2006/relationships/hyperlink" Target="https://www.linkedin.com/company/rane-holdings-limited" TargetMode="External" Id="rId94"/><Relationship Type="http://schemas.openxmlformats.org/officeDocument/2006/relationships/hyperlink" Target="https://in.linkedin.com/in/harish-lakshman-51b0302" TargetMode="External" Id="rId95"/><Relationship Type="http://schemas.openxmlformats.org/officeDocument/2006/relationships/hyperlink" Target="https://www.linkedin.com/company/rane-holdings-limited" TargetMode="External" Id="rId96"/><Relationship Type="http://schemas.openxmlformats.org/officeDocument/2006/relationships/hyperlink" Target="https://in.linkedin.com/in/ramasubramanianvenkatraman" TargetMode="External" Id="rId97"/><Relationship Type="http://schemas.openxmlformats.org/officeDocument/2006/relationships/hyperlink" Target="https://www.linkedin.com/company/rane-holdings-limited" TargetMode="External" Id="rId98"/><Relationship Type="http://schemas.openxmlformats.org/officeDocument/2006/relationships/hyperlink" Target="https://in.linkedin.com/in/dr-p-a-padmanabhan-7247b61b" TargetMode="External" Id="rId99"/><Relationship Type="http://schemas.openxmlformats.org/officeDocument/2006/relationships/hyperlink" Target="https://www.linkedin.com/company/rane-holdings-limited" TargetMode="External" Id="rId100"/><Relationship Type="http://schemas.openxmlformats.org/officeDocument/2006/relationships/hyperlink" Target="https://in.linkedin.com/in/muralidharan-k-dharan-90488851" TargetMode="External" Id="rId101"/><Relationship Type="http://schemas.openxmlformats.org/officeDocument/2006/relationships/hyperlink" Target="https://www.linkedin.com/company/rane-holdings-limited" TargetMode="External" Id="rId102"/><Relationship Type="http://schemas.openxmlformats.org/officeDocument/2006/relationships/hyperlink" Target="https://www.linkedin.com/in/ramdas-govindankutty-4305a4159" TargetMode="External" Id="rId103"/><Relationship Type="http://schemas.openxmlformats.org/officeDocument/2006/relationships/hyperlink" Target="https://www.linkedin.com/company/rane-holdings-limited" TargetMode="External" Id="rId104"/><Relationship Type="http://schemas.openxmlformats.org/officeDocument/2006/relationships/hyperlink" Target="https://in.linkedin.com/in/s-rajendra-kumar-a4355825" TargetMode="External" Id="rId105"/><Relationship Type="http://schemas.openxmlformats.org/officeDocument/2006/relationships/hyperlink" Target="https://www.linkedin.com/company/rane-holdings-limited" TargetMode="External" Id="rId106"/><Relationship Type="http://schemas.openxmlformats.org/officeDocument/2006/relationships/hyperlink" Target="https://in.linkedin.com/in/santhanam-guruprasad-ba362b39" TargetMode="External" Id="rId107"/><Relationship Type="http://schemas.openxmlformats.org/officeDocument/2006/relationships/hyperlink" Target="https://www.linkedin.com/company/rane-holdings-limited" TargetMode="External" Id="rId108"/><Relationship Type="http://schemas.openxmlformats.org/officeDocument/2006/relationships/hyperlink" Target="https://in.linkedin.com/in/varadharajan-s-6b7340225" TargetMode="External" Id="rId109"/><Relationship Type="http://schemas.openxmlformats.org/officeDocument/2006/relationships/hyperlink" Target="https://www.linkedin.com/company/rane-holdings-limited" TargetMode="External" Id="rId110"/><Relationship Type="http://schemas.openxmlformats.org/officeDocument/2006/relationships/hyperlink" Target="https://in.linkedin.com/in/sridhar-subramanian-178a8215b" TargetMode="External" Id="rId111"/><Relationship Type="http://schemas.openxmlformats.org/officeDocument/2006/relationships/hyperlink" Target="https://www.linkedin.com/company/rane-holdings-limited" TargetMode="External" Id="rId112"/><Relationship Type="http://schemas.openxmlformats.org/officeDocument/2006/relationships/hyperlink" Target="https://in.linkedin.com/in/sanjay-agarwal-b9504523" TargetMode="External" Id="rId113"/><Relationship Type="http://schemas.openxmlformats.org/officeDocument/2006/relationships/hyperlink" Target="https://www.linkedin.com/company/century-plyboards-limited" TargetMode="External" Id="rId114"/><Relationship Type="http://schemas.openxmlformats.org/officeDocument/2006/relationships/hyperlink" Target="https://in.linkedin.com/in/prem-kumar-763a9228" TargetMode="External" Id="rId115"/><Relationship Type="http://schemas.openxmlformats.org/officeDocument/2006/relationships/hyperlink" Target="https://www.linkedin.com/company/century-plyboards-limited" TargetMode="External" Id="rId116"/><Relationship Type="http://schemas.openxmlformats.org/officeDocument/2006/relationships/hyperlink" Target="https://in.linkedin.com/in/dr-sandip-pradhan-208420118" TargetMode="External" Id="rId117"/><Relationship Type="http://schemas.openxmlformats.org/officeDocument/2006/relationships/hyperlink" Target="https://www.linkedin.com/company/century-plyboards-limited" TargetMode="External" Id="rId118"/><Relationship Type="http://schemas.openxmlformats.org/officeDocument/2006/relationships/hyperlink" Target="https://in.linkedin.com/in/ashutosh-jaiswal-7309911a" TargetMode="External" Id="rId119"/><Relationship Type="http://schemas.openxmlformats.org/officeDocument/2006/relationships/hyperlink" Target="https://www.linkedin.com/company/century-plyboards-limited" TargetMode="External" Id="rId120"/><Relationship Type="http://schemas.openxmlformats.org/officeDocument/2006/relationships/hyperlink" Target="https://in.linkedin.com/in/arnab-basu-492a06196" TargetMode="External" Id="rId121"/><Relationship Type="http://schemas.openxmlformats.org/officeDocument/2006/relationships/hyperlink" Target="https://www.linkedin.com/company/century-plyboards-limited" TargetMode="External" Id="rId122"/><Relationship Type="http://schemas.openxmlformats.org/officeDocument/2006/relationships/hyperlink" Target="https://in.linkedin.com/in/ravinder-kumar-95579137" TargetMode="External" Id="rId123"/><Relationship Type="http://schemas.openxmlformats.org/officeDocument/2006/relationships/hyperlink" Target="https://www.linkedin.com/company/century-plyboards-limited" TargetMode="External" Id="rId124"/><Relationship Type="http://schemas.openxmlformats.org/officeDocument/2006/relationships/hyperlink" Target="https://in.linkedin.com/in/naveen-lohia-10408711" TargetMode="External" Id="rId125"/><Relationship Type="http://schemas.openxmlformats.org/officeDocument/2006/relationships/hyperlink" Target="https://www.linkedin.com/company/century-plyboards-limited" TargetMode="External" Id="rId126"/><Relationship Type="http://schemas.openxmlformats.org/officeDocument/2006/relationships/hyperlink" Target="https://in.linkedin.com/in/pradeep-kumar-verma-266212217" TargetMode="External" Id="rId127"/><Relationship Type="http://schemas.openxmlformats.org/officeDocument/2006/relationships/hyperlink" Target="https://www.linkedin.com/company/century-plyboards-limited" TargetMode="External" Id="rId128"/><Relationship Type="http://schemas.openxmlformats.org/officeDocument/2006/relationships/hyperlink" Target="https://in.linkedin.com/in/mitash-chatterjee-a6061a14" TargetMode="External" Id="rId129"/><Relationship Type="http://schemas.openxmlformats.org/officeDocument/2006/relationships/hyperlink" Target="https://www.linkedin.com/company/century-plyboards-limited" TargetMode="External" Id="rId130"/><Relationship Type="http://schemas.openxmlformats.org/officeDocument/2006/relationships/hyperlink" Target="https://in.linkedin.com/in/suraj-patra-5616b918" TargetMode="External" Id="rId131"/><Relationship Type="http://schemas.openxmlformats.org/officeDocument/2006/relationships/hyperlink" Target="https://www.linkedin.com/company/century-plyboards-limited" TargetMode="External" Id="rId132"/><Relationship Type="http://schemas.openxmlformats.org/officeDocument/2006/relationships/hyperlink" Target="https://in.linkedin.com/in/navarunsen41" TargetMode="External" Id="rId133"/><Relationship Type="http://schemas.openxmlformats.org/officeDocument/2006/relationships/hyperlink" Target="https://www.linkedin.com/company/century-plyboards-limited" TargetMode="External" Id="rId134"/><Relationship Type="http://schemas.openxmlformats.org/officeDocument/2006/relationships/hyperlink" Target="https://in.linkedin.com/in/vishu-goel-07a4a2200" TargetMode="External" Id="rId135"/><Relationship Type="http://schemas.openxmlformats.org/officeDocument/2006/relationships/hyperlink" Target="https://www.linkedin.com/company/century-plyboards-limited" TargetMode="External" Id="rId136"/><Relationship Type="http://schemas.openxmlformats.org/officeDocument/2006/relationships/hyperlink" Target="https://in.linkedin.com/in/avtar-singh-bhullar-49245b52" TargetMode="External" Id="rId137"/><Relationship Type="http://schemas.openxmlformats.org/officeDocument/2006/relationships/hyperlink" Target="https://www.linkedin.com/company/century-plyboards-limited" TargetMode="External" Id="rId138"/><Relationship Type="http://schemas.openxmlformats.org/officeDocument/2006/relationships/hyperlink" Target="https://in.linkedin.com/in/abhijit-mukherjee-28389142" TargetMode="External" Id="rId139"/><Relationship Type="http://schemas.openxmlformats.org/officeDocument/2006/relationships/hyperlink" Target="https://www.linkedin.com/company/century-plyboards-limited" TargetMode="External" Id="rId140"/><Relationship Type="http://schemas.openxmlformats.org/officeDocument/2006/relationships/hyperlink" Target="https://in.linkedin.com/in/ritobroto-sengupta-528b0913" TargetMode="External" Id="rId141"/><Relationship Type="http://schemas.openxmlformats.org/officeDocument/2006/relationships/hyperlink" Target="https://www.linkedin.com/company/century-plyboards-limited" TargetMode="External" Id="rId142"/><Relationship Type="http://schemas.openxmlformats.org/officeDocument/2006/relationships/hyperlink" Target="https://in.linkedin.com/in/srivats-ram-98b60a8" TargetMode="External" Id="rId143"/><Relationship Type="http://schemas.openxmlformats.org/officeDocument/2006/relationships/hyperlink" Target="https://www.linkedin.com/company/wheelsindialimited" TargetMode="External" Id="rId144"/><Relationship Type="http://schemas.openxmlformats.org/officeDocument/2006/relationships/hyperlink" Target="https://in.linkedin.com/in/natarajan-ponnusamy-b0399b12" TargetMode="External" Id="rId145"/><Relationship Type="http://schemas.openxmlformats.org/officeDocument/2006/relationships/hyperlink" Target="https://www.linkedin.com/company/wheelsindialimited" TargetMode="External" Id="rId146"/><Relationship Type="http://schemas.openxmlformats.org/officeDocument/2006/relationships/hyperlink" Target="https://in.linkedin.com/in/venkatesan-govindan-74b077317" TargetMode="External" Id="rId147"/><Relationship Type="http://schemas.openxmlformats.org/officeDocument/2006/relationships/hyperlink" Target="https://www.linkedin.com/company/wheelsindialimited" TargetMode="External" Id="rId148"/><Relationship Type="http://schemas.openxmlformats.org/officeDocument/2006/relationships/hyperlink" Target="https://in.linkedin.com/in/muralidharan-t-s-5376233b7" TargetMode="External" Id="rId149"/><Relationship Type="http://schemas.openxmlformats.org/officeDocument/2006/relationships/hyperlink" Target="https://www.linkedin.com/company/wheelsindialimited" TargetMode="External" Id="rId150"/><Relationship Type="http://schemas.openxmlformats.org/officeDocument/2006/relationships/hyperlink" Target="https://in.linkedin.com/in/venkatesan-ramamoorthy-b63b7049" TargetMode="External" Id="rId151"/><Relationship Type="http://schemas.openxmlformats.org/officeDocument/2006/relationships/hyperlink" Target="https://www.linkedin.com/company/wheelsindialimited" TargetMode="External" Id="rId152"/><Relationship Type="http://schemas.openxmlformats.org/officeDocument/2006/relationships/hyperlink" Target="https://in.linkedin.com/in/mohan-kumar-muthusamy-948bb737" TargetMode="External" Id="rId153"/><Relationship Type="http://schemas.openxmlformats.org/officeDocument/2006/relationships/hyperlink" Target="https://www.linkedin.com/company/wheelsindialimited" TargetMode="External" Id="rId154"/><Relationship Type="http://schemas.openxmlformats.org/officeDocument/2006/relationships/hyperlink" Target="https://in.linkedin.com/in/venkatasami-babu-56a3517" TargetMode="External" Id="rId155"/><Relationship Type="http://schemas.openxmlformats.org/officeDocument/2006/relationships/hyperlink" Target="https://www.linkedin.com/company/wheelsindialimited" TargetMode="External" Id="rId156"/><Relationship Type="http://schemas.openxmlformats.org/officeDocument/2006/relationships/hyperlink" Target="https://in.linkedin.com/in/raju-p-krishnan-aa96bb12" TargetMode="External" Id="rId157"/><Relationship Type="http://schemas.openxmlformats.org/officeDocument/2006/relationships/hyperlink" Target="https://www.linkedin.com/company/wheelsindialimited" TargetMode="External" Id="rId158"/><Relationship Type="http://schemas.openxmlformats.org/officeDocument/2006/relationships/hyperlink" Target="https://in.linkedin.com/in/mohan-joshi-44290a218" TargetMode="External" Id="rId159"/><Relationship Type="http://schemas.openxmlformats.org/officeDocument/2006/relationships/hyperlink" Target="https://www.linkedin.com/company/steel-strips-wheels-limited" TargetMode="External" Id="rId160"/><Relationship Type="http://schemas.openxmlformats.org/officeDocument/2006/relationships/hyperlink" Target="https://in.linkedin.com/in/aditya-dixit-60525116" TargetMode="External" Id="rId161"/><Relationship Type="http://schemas.openxmlformats.org/officeDocument/2006/relationships/hyperlink" Target="https://www.linkedin.com/company/steel-strips-wheels-limited" TargetMode="External" Id="rId162"/><Relationship Type="http://schemas.openxmlformats.org/officeDocument/2006/relationships/hyperlink" Target="https://in.linkedin.com/in/rajesh-trikha-a16324269" TargetMode="External" Id="rId163"/><Relationship Type="http://schemas.openxmlformats.org/officeDocument/2006/relationships/hyperlink" Target="https://www.linkedin.com/company/steel-strips-wheels-limited" TargetMode="External" Id="rId164"/><Relationship Type="http://schemas.openxmlformats.org/officeDocument/2006/relationships/hyperlink" Target="https://in.linkedin.com/in/sushil-gupta-5115141a" TargetMode="External" Id="rId165"/><Relationship Type="http://schemas.openxmlformats.org/officeDocument/2006/relationships/hyperlink" Target="https://www.linkedin.com/company/steel-strips-wheels-limited" TargetMode="External" Id="rId166"/><Relationship Type="http://schemas.openxmlformats.org/officeDocument/2006/relationships/hyperlink" Target="https://in.linkedin.com/in/sanjeev-singh-raghuvanshi-82425310" TargetMode="External" Id="rId167"/><Relationship Type="http://schemas.openxmlformats.org/officeDocument/2006/relationships/hyperlink" Target="https://www.linkedin.com/company/steel-strips-wheels-limited" TargetMode="External" Id="rId168"/><Relationship Type="http://schemas.openxmlformats.org/officeDocument/2006/relationships/hyperlink" Target="https://in.linkedin.com/in/jatinder-singh-09759217" TargetMode="External" Id="rId169"/><Relationship Type="http://schemas.openxmlformats.org/officeDocument/2006/relationships/hyperlink" Target="https://www.linkedin.com/company/steel-strips-wheels-limited" TargetMode="External" Id="rId170"/><Relationship Type="http://schemas.openxmlformats.org/officeDocument/2006/relationships/hyperlink" Target="https://in.linkedin.com/in/udaya-kumar-0134591b0" TargetMode="External" Id="rId171"/><Relationship Type="http://schemas.openxmlformats.org/officeDocument/2006/relationships/hyperlink" Target="https://www.linkedin.com/company/steel-strips-wheels-limited" TargetMode="External" Id="rId172"/><Relationship Type="http://schemas.openxmlformats.org/officeDocument/2006/relationships/hyperlink" Target="https://in.linkedin.com/in/sandeep-sharma-37314191" TargetMode="External" Id="rId173"/><Relationship Type="http://schemas.openxmlformats.org/officeDocument/2006/relationships/hyperlink" Target="https://www.linkedin.com/company/steel-strips-wheels-limited" TargetMode="External" Id="rId174"/></Relationships>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cols>
    <col width="36" customWidth="1" min="1" max="1"/>
    <col width="17" customWidth="1" min="2" max="2"/>
    <col width="30" customWidth="1" min="3" max="3"/>
    <col width="16" customWidth="1" min="4" max="4"/>
    <col width="21" customWidth="1" min="5" max="5"/>
    <col width="17" customWidth="1" min="6" max="6"/>
    <col width="20" customWidth="1" min="7" max="7"/>
    <col width="60" customWidth="1" min="8" max="8"/>
    <col width="12" customWidth="1" min="9" max="9"/>
    <col width="22" customWidth="1" min="10" max="10"/>
    <col width="22" customWidth="1" min="11" max="11"/>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Location</t>
        </is>
      </c>
      <c r="H1" s="1" t="inlineStr">
        <is>
          <t>Business Summary</t>
        </is>
      </c>
      <c r="I1" s="1" t="inlineStr">
        <is>
          <t>Website</t>
        </is>
      </c>
      <c r="J1" s="1" t="inlineStr">
        <is>
          <t>LinkedIn (Verified)</t>
        </is>
      </c>
      <c r="K1" s="1" t="inlineStr">
        <is>
          <t>LinkedIn Confirmed?</t>
        </is>
      </c>
    </row>
    <row r="2">
      <c r="A2" t="inlineStr">
        <is>
          <t>Astral Limited</t>
        </is>
      </c>
      <c r="B2" t="inlineStr">
        <is>
          <t>NSE:ASTRAL</t>
        </is>
      </c>
      <c r="C2" t="inlineStr">
        <is>
          <t>Miscellaneous Manufacturing</t>
        </is>
      </c>
      <c r="D2" t="n">
        <v>65686000000</v>
      </c>
      <c r="E2" t="n">
        <v>5366000000</v>
      </c>
      <c r="F2" t="n">
        <v>4899</v>
      </c>
      <c r="G2" t="inlineStr">
        <is>
          <t>Ahmedabad, India</t>
        </is>
      </c>
      <c r="H2" t="inlineStr">
        <is>
          <t>Astral Limited engages in the manufacture and marketing of pipes and fittings, water tanks, and adhesives and sealants in India and internationally. The company operates in two segments, Plumbing, and Paints and Adhesives. It offers plumbing pipes and fittings, sewerage and drainage pipes and fittings, agriculture pipes and fittings, cable protection system, industrial piping system, fire protection system, urban infrastructure, ancillary products, and column pipe; and roto moulding, blow moulded, loft, and anti-viral copper shield water tanks. It also provides bathware products comprising faucets, sanitarywares, cisterns, and showers; paints, such as interior and exterior emulsions, distempers, enamels, and primer and wall putty undercoats; adhesives and sealants, including epoxy, PVA, rubber, anaerobic tapes, silicone, acrylic, hybrid, instant, solvent, specialty, and industrial adhesives; specialized valves, such as compact true, single union, and industrial ball valves; construction chemicals comprising waterproofing, tile adhesives and grouts, surface protection, construction additives, and repair and rehabilitation products; and infrastructure products comprising drainage, cable protection, and PT duct systems; and specialised fittings, such as electrofusion, compression, PPR pipe fittings, integrated and mechanical clamp, integrated composite strap-on saddles, uPVC conduit fittings. The company was formerly known as Astral Poly Technik Limited and changed its name to Astral Limited in April 2021. Astral Limited was incorporated in 1996 and is headquartered in Ahmedabad, India.</t>
        </is>
      </c>
      <c r="I2" s="2">
        <f>HYPERLINK("https://astralltd.com", "https://astralltd.com")</f>
        <v/>
      </c>
      <c r="J2" s="2">
        <f>HYPERLINK("https://www.linkedin.com/company/astralpipesofficial", "https://www.linkedin.com/company/astralpipesofficial")</f>
        <v/>
      </c>
      <c r="K2" s="3" t="inlineStr">
        <is>
          <t>Verified</t>
        </is>
      </c>
    </row>
    <row r="3">
      <c r="A3" t="inlineStr">
        <is>
          <t>V-Guard Industries Limited</t>
        </is>
      </c>
      <c r="B3" t="inlineStr">
        <is>
          <t>NSE:VGUARD</t>
        </is>
      </c>
      <c r="C3" t="inlineStr">
        <is>
          <t>Electrical Products</t>
        </is>
      </c>
      <c r="D3" t="n">
        <v>63103500000</v>
      </c>
      <c r="E3" t="n">
        <v>3647300000</v>
      </c>
      <c r="F3" t="n">
        <v>3219</v>
      </c>
      <c r="G3" t="inlineStr">
        <is>
          <t>Kochi, India</t>
        </is>
      </c>
      <c r="H3" t="inlineStr">
        <is>
          <t>V-Guard Industries Limited manufactures and sells electrical and electronic products in India and internationally. It operates through four segments: Electronics, Electrical, Consumer Durables and Sunflame. The Electronics segment offers voltage stabilizers; and inverter, digital DUPS, inverter batteries, UPS, solar inverters, solar power systems, off grid and on grid systems and inverters, and on grid photovoltaic (PV) inverters. The Electrical segment provides wires; pumps, such as domestic and agricultural pumps, and electric motors; modular switches, including matteo, novio, and torio switches; switchgears; and PVC insulated cables. The Consumer Durables Segment offers fans, such as ceiling, table, pedestal, wall, ventilating and exhaust, and other fans; air coolers, including desert, window-mounted, and personal and room variants; water heaters, such as electric, solar and heat pump water heaters; and kitchen appliances comprising induction cooktop, mixer grinders, gas cooktops, rice cookers, water purifiers, small and large appliances like kitchen hoods, and breakfast appliances. The Sunflame segment sells products under Sunflame and Superflame brands. It sells its products through a network of distributors and dealers. V-Guard Industries Limited was founded in 1977 and is headquartered in Kochi, India.</t>
        </is>
      </c>
      <c r="I3" s="2">
        <f>HYPERLINK("https://www.vguard.in", "https://www.vguard.in")</f>
        <v/>
      </c>
      <c r="J3" s="2">
        <f>HYPERLINK("https://www.linkedin.com/company/v-guard", "https://www.linkedin.com/company/v-guard")</f>
        <v/>
      </c>
      <c r="K3" s="3" t="inlineStr">
        <is>
          <t>Verified</t>
        </is>
      </c>
    </row>
    <row r="4">
      <c r="A4" t="inlineStr">
        <is>
          <t>Sundram Fasteners Limited</t>
        </is>
      </c>
      <c r="B4" t="inlineStr">
        <is>
          <t>NSE:SUNDRMFAST</t>
        </is>
      </c>
      <c r="C4" t="inlineStr">
        <is>
          <t>Auto Parts: OEM</t>
        </is>
      </c>
      <c r="D4" t="n">
        <v>62888200000</v>
      </c>
      <c r="E4" t="n">
        <v>5911900000</v>
      </c>
      <c r="F4" t="n">
        <v>3108</v>
      </c>
      <c r="G4" t="inlineStr">
        <is>
          <t>Chennai, India</t>
        </is>
      </c>
      <c r="H4" t="inlineStr">
        <is>
          <t>Sundram Fasteners Limited manufactures and sells components for the automotive, infrastructure, wind energy, aerospace, defense, farm equipment, industrial, aviation, and other sectors in India, China, the Americas, and internationally. The company's products include high tensile fasteners, such as wind energy, automotive, engine, chassis, and aerospace and aviation fasteners; cold extruded parts, including gear blanks, transmission shafts, cams, starter sleeves and pinions, CV joint parts, and fan hubs; and hot forged parts, such as bevel gears and pinions, hub rings, clutch hubs, crankshafts sprockets, stainless steel turbocharger parts, and connecting rods. It also provides powertrain components, such as turbine and output shafts, sungear shafts, slip yokes, clutch hubs, and crankshaft sprockets; powder metallurgy parts comprising rotors and gears, synchronizer hubs, shock absorber components, valve train components, bushes, and structural parts; metal and nylon radiator caps; pumps and assemblies comprising water and oil pumps, mechanical fuel pumps, manual and auto belt tensioners, rocker assemblies, suspension and precision parts, and fan support and camshafts products, as well as iron powder units, including powders for press and sinter applications, plain iron powders, diffusion bonded powders, pre-alloyed powders, and press ready mixes units. In addition, the company generates power using non-conventional sources; manufactures spokes and nipples, automobile kits, tools, dowel pins, small screws, cold extruded parts and other parts; and engages in information technology business providing enterprise solutions for core industries like manufacturing, automotive and distribution. Sundram Fasteners Limited was incorporated in 1962 and is headquartered in Chennai, India.</t>
        </is>
      </c>
      <c r="I4" s="2">
        <f>HYPERLINK("https://www.sundram.com", "https://www.sundram.com")</f>
        <v/>
      </c>
      <c r="J4" s="2">
        <f>HYPERLINK("https://www.linkedin.com/company/sundram-fasteners", "https://www.linkedin.com/company/sundram-fasteners")</f>
        <v/>
      </c>
      <c r="K4" s="3" t="inlineStr">
        <is>
          <t>Verified</t>
        </is>
      </c>
    </row>
    <row r="5">
      <c r="A5" t="inlineStr">
        <is>
          <t>JBM Auto Limited</t>
        </is>
      </c>
      <c r="B5" t="inlineStr">
        <is>
          <t>NSE:JBMA</t>
        </is>
      </c>
      <c r="C5" t="inlineStr">
        <is>
          <t>Auto Parts: OEM</t>
        </is>
      </c>
      <c r="D5" t="n">
        <v>62769400000</v>
      </c>
      <c r="E5" t="n">
        <v>2241800000</v>
      </c>
      <c r="F5" t="inlineStr"/>
      <c r="G5" t="inlineStr">
        <is>
          <t>Gurugram, India</t>
        </is>
      </c>
      <c r="H5" t="inlineStr">
        <is>
          <t>JBM Auto Limited engages in the manufacture and sale sheet metal components, tools, dies and moulds, and buses in India and internationally. It operates through three segments: Sheet Metal Components, Assemblies &amp; Sub-assemblies (Component Division); Tool, Dies &amp; Moulds (Tool Room Division); and OEM Division. The company offers auto components and systems, such as BIW, chassis and suspension systems, pedal boxes, tubular products, safety-critical components, and various auto assemblies for two-wheelers, three-wheelers, passenger vehicles, commercial vehicles, and farm and construction equipment. It also provides low emission and electric buses; lithium ion batteries solutions for HV- LV battery operated vehicle, energy storage systems, and solar; and operates electric vehicles charging infrastructure. In addition, it is involved in the provision of utility scale solar power projects, battery energy storage, and power infrastructure solutions; and environment management, as well as spare parts, accessories, and maintenance contracts. It serves original equipment manufacturers in the passenger vehicles, commercial vehicles, farm equipment, and auto component manufacturers, etc., as well as state transport undertakings, aviation sector, ground handling companies, multiple aggregator and operator, defense sector, and Fortune 500 Companies. JBM Auto Limited was incorporated in 1996 and is headquartered in Gurugram, India.</t>
        </is>
      </c>
      <c r="I5" s="2">
        <f>HYPERLINK("https://www.jbmgroup.com", "https://www.jbmgroup.com")</f>
        <v/>
      </c>
      <c r="J5" s="2">
        <f>HYPERLINK("https://www.linkedin.com/company/jbm-group", "https://www.linkedin.com/company/jbm-group")</f>
        <v/>
      </c>
      <c r="K5" s="3" t="inlineStr">
        <is>
          <t>Verified</t>
        </is>
      </c>
    </row>
    <row r="6">
      <c r="A6" t="inlineStr">
        <is>
          <t>Minda Corporation Limited</t>
        </is>
      </c>
      <c r="B6" t="inlineStr">
        <is>
          <t>NSE:MINDACORP</t>
        </is>
      </c>
      <c r="C6" t="inlineStr">
        <is>
          <t>Auto Parts: OEM</t>
        </is>
      </c>
      <c r="D6" t="n">
        <v>61853400000</v>
      </c>
      <c r="E6" t="n">
        <v>3602600000</v>
      </c>
      <c r="F6" t="n">
        <v>3405</v>
      </c>
      <c r="G6" t="inlineStr">
        <is>
          <t>Noida, India</t>
        </is>
      </c>
      <c r="H6" t="inlineStr">
        <is>
          <t>Minda Corporation Limited manufactures and sells automobile components and parts in India, rest of Asia, America, Europe, and Africa. The company offers mechatronic products, such as ignition switch cum steering locks, smart key systems and keyless entry, access systems, mechatronics handles, immobiliser fuel tank caps, aluminium and zinc die casting components, flush outer door handles, knob type smart lock systems, starter motors, and alternators; information and connected systems, including wiring harness, connectors, cockpit, fully digital clusters, terminals, and components; and instrument clusters and dashboard, as well as speed, temperature, position, pressure, and exhaust gas sensors. It also provides plastic and interior products comprising air vent rears, glove boxes, center consoles, cup holders, ash trays, louvers, oil slumps, cylinder heads, battery trays, and light weight solutions; and aftermarket products that comprise locks, lubricants, filters, clutch plates, bearings, wiper blades, brake shoes, and cables. In addition, the company offers DC-DC convertors, battery chargers, motor controllers, intelligent transport system, telematics, connected clusters, MFECU, and vehicle control units; and rod, micro pole, shark fin, and LF antennas. Further, it offers kick and tilt gyro IMU sensors, tyre pressure monitoring systems, EV supply equipment, primary gears, ignition coils, cooling fans, and spark plug caps, as well as various type of motors and invertors. The company serves passenger and commercial vehicle, motorcycle and scooter, off-road vehicle, and tier 1 manufacturers, as well as original equipment manufacturers. It exports its products. The company was formerly known as Minda Switch Auto Pvt. Ltd. and changed its name to Minda Corporation Limited in 2007. Minda Corporation Limited was founded in 1958 and is based in Noida, India.</t>
        </is>
      </c>
      <c r="I6" s="2">
        <f>HYPERLINK("https://sparkminda.com", "https://sparkminda.com")</f>
        <v/>
      </c>
      <c r="J6" s="2">
        <f>HYPERLINK("https://www.linkedin.com/company/sparkminda", "https://www.linkedin.com/company/sparkminda")</f>
        <v/>
      </c>
      <c r="K6" s="3" t="inlineStr">
        <is>
          <t>Verified</t>
        </is>
      </c>
    </row>
    <row r="7">
      <c r="A7" t="inlineStr">
        <is>
          <t>Ram Ratna Wires Limited</t>
        </is>
      </c>
      <c r="B7" t="inlineStr">
        <is>
          <t>NSE:RAMRAT</t>
        </is>
      </c>
      <c r="C7" t="inlineStr">
        <is>
          <t>Electrical Products</t>
        </is>
      </c>
      <c r="D7" t="n">
        <v>60474618000</v>
      </c>
      <c r="E7" t="n">
        <v>1268083000</v>
      </c>
      <c r="F7" t="n">
        <v>1288</v>
      </c>
      <c r="G7" t="inlineStr">
        <is>
          <t>Mumbai, India</t>
        </is>
      </c>
      <c r="H7" t="inlineStr">
        <is>
          <t>Ram Ratna Wires Limited, together with its subsidiaries, manufactures and sells winding wires in India and internationally. It operates through the Winding Wires and Strips, Copper Tubes and Pipes, and Other segments. The company is involved in the manufacture of BLDC motors for air conditioners, hub motors, HVLS fans, submersible pumps, and related products, as well as the manufacture of fabricated components and assemblies for the renewable energy sector. It offers enameled aluminum and copper wires; enameled copper strips; submersible winding wires; paper-covered wires and strips; bunched and braided wires; fine and ultra-fine enamelled wires; Litz wires; MCB coils; self-bondable wires; NOMEX-insulated conductors; and fiberglass-covered strips. The company also provides parallel winding wires for EV hub motors; advanced EV-grade enamelled conductors and strips; Class 240 enamelled wires for EV and specialized motor applications; and continuously transposed conductors for transformers and high-efficiency power applications. Its products are used in various applications, such as motors, transformers, generators, automotive systems and electrical equipment requiring reliable insulation, electronic circuits, inverters, fans, compressors, and automotive parts. The company exports its products to various international markets. Ram Ratna Wires Limited was founded in 1965 and is headquartered in Mumbai, India.</t>
        </is>
      </c>
      <c r="I7" s="2">
        <f>HYPERLINK("https://www.rrshramik.com", "https://www.rrshramik.com")</f>
        <v/>
      </c>
      <c r="J7" s="2">
        <f>HYPERLINK("https://www.linkedin.com/company/rr-sharamik", "https://www.linkedin.com/company/rr-sharamik")</f>
        <v/>
      </c>
      <c r="K7" s="3" t="inlineStr">
        <is>
          <t>Verified</t>
        </is>
      </c>
    </row>
    <row r="8">
      <c r="A8" t="inlineStr">
        <is>
          <t>Rane Holdings Limited</t>
        </is>
      </c>
      <c r="B8" t="inlineStr">
        <is>
          <t>NSE:RANEHOLDIN</t>
        </is>
      </c>
      <c r="C8" t="inlineStr">
        <is>
          <t>Auto Parts: OEM</t>
        </is>
      </c>
      <c r="D8" t="n">
        <v>58833100000</v>
      </c>
      <c r="E8" t="n">
        <v>978700000</v>
      </c>
      <c r="F8" t="n">
        <v>130</v>
      </c>
      <c r="G8" t="inlineStr">
        <is>
          <t>Chennai, India</t>
        </is>
      </c>
      <c r="H8" t="inlineStr">
        <is>
          <t>Rane Holdings Limited, together with its subsidiaries, manufactures and markets automotive components for the transportation industry in India and internationally. The company offers steering and suspension systems comprising manual steering gears, steering linkages, suspension components, and hydraulic products; hydraulic power rack and pinion steering gear, power steering gear, power steering pump assemblies, and power steering fluid- power cruises; and intermediate shafts, electric power steering, solid steering energy absorbing and collapsible, and tilt and telescopic steering columns, as well as universal joint assemblies. It also provides engine components, including engine valves, and valve guides and mechanical tappets; brake components, such as brake linings, clutch facings, disc pads, commercial vehicle brake pads, railways brake blocks, and sintered brake pads; and occupant safety systems, including seat belts and air bags. In addition, the company offers light metal casting products comprising hydraulic pinion housings, pump housings, EPAS outboard and pinion housings, gear cases, brake, transmission, and battery housings, engine oil sumps, timing case covers, and luminaries; and aftermarket products. It serves its products to passenger vehicles, commercial vehicles, farm tractors, two-wheelers, and railways and stationary engines industries. The company was formerly known as Rane (Madras) Limited and changed its name to Rane Holdings Limited in July 2004. Rane Holdings Limited was founded in 1929 and is based in Chennai, India.</t>
        </is>
      </c>
      <c r="I8" s="2">
        <f>HYPERLINK("https://www.ranegroup.com", "https://www.ranegroup.com")</f>
        <v/>
      </c>
      <c r="J8" s="2">
        <f>HYPERLINK("https://www.linkedin.com/company/rane-holdings-limited", "https://www.linkedin.com/company/rane-holdings-limited")</f>
        <v/>
      </c>
      <c r="K8" s="3" t="inlineStr">
        <is>
          <t>Verified</t>
        </is>
      </c>
    </row>
    <row r="9">
      <c r="A9" t="inlineStr">
        <is>
          <t>Century Plyboards (India) Limited</t>
        </is>
      </c>
      <c r="B9" t="inlineStr">
        <is>
          <t>NSE:CENTURYPLY</t>
        </is>
      </c>
      <c r="C9" t="inlineStr">
        <is>
          <t>Building Products</t>
        </is>
      </c>
      <c r="D9" t="n">
        <v>57892045000</v>
      </c>
      <c r="E9" t="n">
        <v>2911405000</v>
      </c>
      <c r="F9" t="inlineStr"/>
      <c r="G9" t="inlineStr">
        <is>
          <t>Kolkata, India</t>
        </is>
      </c>
      <c r="H9" t="inlineStr">
        <is>
          <t>Century Plyboards (India) Limited engages in the manufacture and sale of plywood, laminates, decorative veneers, medium density fiber boards (MDF), pre-laminated boards, particle boards, and flush doors in India. It operates through Plywood, Laminate, MDF, Plain Particle Board, CFS Services, and Others segments. The company provides plywood, blockboard, veneer, and timber; decorative laminates; and plain and pre-laminated medium density fibre boards, as well as particle boards. It also provides container freight stations services; trades in chemicals and panel products; and offers pre-engineered doors, fibre cement boards, and PVC sheets. The company also exports its products. It provides its products primarily under the ARCHITECT PLY, CENTURYEXPERIA, CENTURYTEAK, SAINIK 710, SAINIK MR, SAINIK DOORS, SAINIK LAMINATES, CENTURYDOORS, CENTURYPROWUD, CENTURYLAMINATES, CENTURYVENEERS, Zykron, and CENTURYPLY brands. Century Plyboards (India) Limited was incorporated in 1982 and is headquartered in Kolkata, India.</t>
        </is>
      </c>
      <c r="I9" s="2">
        <f>HYPERLINK("https://www.centuryply.com", "https://www.centuryply.com")</f>
        <v/>
      </c>
      <c r="J9" s="2">
        <f>HYPERLINK("https://www.linkedin.com/company/century-plyboards-limited", "https://www.linkedin.com/company/century-plyboards-limited")</f>
        <v/>
      </c>
      <c r="K9" s="3" t="inlineStr">
        <is>
          <t>Verified</t>
        </is>
      </c>
    </row>
    <row r="10">
      <c r="A10" t="inlineStr">
        <is>
          <t>Wheels India Limited</t>
        </is>
      </c>
      <c r="B10" t="inlineStr">
        <is>
          <t>NSE:WHEELS</t>
        </is>
      </c>
      <c r="C10" t="inlineStr">
        <is>
          <t>Auto Parts: OEM</t>
        </is>
      </c>
      <c r="D10" t="n">
        <v>56904400000</v>
      </c>
      <c r="E10" t="n">
        <v>1634600000</v>
      </c>
      <c r="F10" t="n">
        <v>2735</v>
      </c>
      <c r="G10" t="inlineStr">
        <is>
          <t>Chennai, India</t>
        </is>
      </c>
      <c r="H10" t="inlineStr">
        <is>
          <t>Wheels India Limited, together with its subsidiary, manufactures and sells automotive and industrial components in India and internationally. The company provides steel, cast aluminum, forged aluminum, and wire wheel for use in passenger and light cargo vehicles, trucks, trailers, buses, agriculture and farm equipment, off-road vehicles, and defense vehicles; vehicle chassis and suspensions; wind turbines; fabricated and precision products for construction, mining vehicle, and other equipment; hydraulic cylinders for energy equipment and off-road vehicles; and railway products, such as bogie frames and bolsters. It also offers components and structures for windmill, railways, and thermal power plants. The company was incorporated in 1960 and is headquartered in Chennai, India.</t>
        </is>
      </c>
      <c r="I10" s="2">
        <f>HYPERLINK("https://www.wheelsindia.com", "https://www.wheelsindia.com")</f>
        <v/>
      </c>
      <c r="J10" s="2">
        <f>HYPERLINK("https://www.linkedin.com/company/wheelsindialimited", "https://www.linkedin.com/company/wheelsindialimited")</f>
        <v/>
      </c>
      <c r="K10" s="3" t="inlineStr">
        <is>
          <t>Verified</t>
        </is>
      </c>
    </row>
    <row r="11">
      <c r="A11" t="inlineStr">
        <is>
          <t>Steel Strips Wheels Limited</t>
        </is>
      </c>
      <c r="B11" t="inlineStr">
        <is>
          <t>BSE:SSWL</t>
        </is>
      </c>
      <c r="C11" t="inlineStr">
        <is>
          <t>Auto Parts: OEM</t>
        </is>
      </c>
      <c r="D11" t="n">
        <v>55058362000</v>
      </c>
      <c r="E11" t="n">
        <v>2124273000</v>
      </c>
      <c r="F11" t="inlineStr"/>
      <c r="G11" t="inlineStr">
        <is>
          <t>Chandigarh, India</t>
        </is>
      </c>
      <c r="H11" t="inlineStr">
        <is>
          <t>Steel Strips Wheels Limited engages in the design, manufacture, and sale of automotive wheel rims and other auto components in India and internationally. It offers steel wheels rims, alloy wheel rims, and hot rolling mills for two and three wheelers, passenger cars, multi utility vehicles, tractors, commercial vehicles, and OTR vehicles; trailer and caravan; and aluminium steering knuckle. The company was incorporated in 1985 and is headquartered in Chandigarh, India.</t>
        </is>
      </c>
      <c r="I11" s="2">
        <f>HYPERLINK("https://sswlindia.com", "https://sswlindia.com")</f>
        <v/>
      </c>
      <c r="J11" s="2">
        <f>HYPERLINK("https://www.linkedin.com/company/steel-strips-wheels-limited", "https://www.linkedin.com/company/steel-strips-wheels-limited")</f>
        <v/>
      </c>
      <c r="K11" s="3" t="inlineStr">
        <is>
          <t>Verified</t>
        </is>
      </c>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F116"/>
  <sheetViews>
    <sheetView showGridLines="0" workbookViewId="0">
      <selection activeCell="A1" sqref="A1"/>
    </sheetView>
  </sheetViews>
  <sheetFormatPr baseColWidth="8" defaultRowHeight="15"/>
  <cols>
    <col width="6" customWidth="1" min="1" max="1"/>
    <col width="28" customWidth="1" min="2" max="2"/>
    <col width="50" customWidth="1" min="3" max="3"/>
    <col width="45" customWidth="1" min="4" max="4"/>
    <col width="45" customWidth="1" min="5" max="5"/>
    <col width="18" customWidth="1" min="6" max="6"/>
  </cols>
  <sheetData>
    <row r="1" ht="28" customHeight="1">
      <c r="A1" s="4" t="inlineStr">
        <is>
          <t xml:space="preserve">  ▸ Astral Limited  (5 contacts)</t>
        </is>
      </c>
      <c r="B1" s="5" t="n"/>
      <c r="C1" s="5" t="n"/>
      <c r="D1" s="5" t="n"/>
      <c r="E1" s="5" t="n"/>
      <c r="F1" s="5" t="n"/>
    </row>
    <row r="2" hidden="1" outlineLevel="1">
      <c r="A2" s="6" t="inlineStr">
        <is>
          <t>#</t>
        </is>
      </c>
      <c r="B2" s="6" t="inlineStr">
        <is>
          <t>Name</t>
        </is>
      </c>
      <c r="C2" s="6" t="inlineStr">
        <is>
          <t>Position</t>
        </is>
      </c>
      <c r="D2" s="6" t="inlineStr">
        <is>
          <t>LinkedIn (Person)</t>
        </is>
      </c>
      <c r="E2" s="6" t="inlineStr">
        <is>
          <t>Company LinkedIn</t>
        </is>
      </c>
      <c r="F2" s="6" t="inlineStr">
        <is>
          <t>Location</t>
        </is>
      </c>
    </row>
    <row r="3" hidden="1" outlineLevel="1">
      <c r="A3" s="7" t="n">
        <v>1</v>
      </c>
      <c r="B3" s="8" t="inlineStr">
        <is>
          <t>Saumya Engineer</t>
        </is>
      </c>
      <c r="C3" s="8" t="inlineStr">
        <is>
          <t>CEO, Adhesives &amp; Paints at Astral Limited</t>
        </is>
      </c>
      <c r="D3" s="9" t="inlineStr">
        <is>
          <t>Saumya Engineer</t>
        </is>
      </c>
      <c r="E3" s="9" t="inlineStr">
        <is>
          <t>Astral Limited</t>
        </is>
      </c>
      <c r="F3" s="7" t="inlineStr">
        <is>
          <t>Ahmedabad, India</t>
        </is>
      </c>
    </row>
    <row r="4" hidden="1" outlineLevel="1">
      <c r="A4" s="10" t="n">
        <v>2</v>
      </c>
      <c r="B4" s="11" t="inlineStr">
        <is>
          <t>Paul Houghton</t>
        </is>
      </c>
      <c r="C4" s="11" t="inlineStr">
        <is>
          <t>Managing Director, Astral Ltd</t>
        </is>
      </c>
      <c r="D4" s="12" t="inlineStr">
        <is>
          <t>Paul Houghton</t>
        </is>
      </c>
      <c r="E4" s="12" t="inlineStr">
        <is>
          <t>Astral Limited</t>
        </is>
      </c>
      <c r="F4" s="10" t="inlineStr">
        <is>
          <t>Ahmedabad, India</t>
        </is>
      </c>
    </row>
    <row r="5" hidden="1" outlineLevel="1">
      <c r="A5" s="7" t="n">
        <v>3</v>
      </c>
      <c r="B5" s="8" t="inlineStr">
        <is>
          <t>Kairav Engineer</t>
        </is>
      </c>
      <c r="C5" s="8" t="inlineStr">
        <is>
          <t>Executive Director at Astral Limited</t>
        </is>
      </c>
      <c r="D5" s="9" t="inlineStr">
        <is>
          <t>Kairav Engineer</t>
        </is>
      </c>
      <c r="E5" s="9" t="inlineStr">
        <is>
          <t>Astral Limited</t>
        </is>
      </c>
      <c r="F5" s="7" t="inlineStr">
        <is>
          <t>Ahmedabad, India</t>
        </is>
      </c>
    </row>
    <row r="6" hidden="1" outlineLevel="1">
      <c r="A6" s="10" t="n">
        <v>4</v>
      </c>
      <c r="B6" s="11" t="inlineStr">
        <is>
          <t>Hiranand Savlani</t>
        </is>
      </c>
      <c r="C6" s="11" t="inlineStr">
        <is>
          <t>CFO &amp; Executive Director at Astral Ltd</t>
        </is>
      </c>
      <c r="D6" s="12" t="inlineStr">
        <is>
          <t>Hiranand Savlani</t>
        </is>
      </c>
      <c r="E6" s="12" t="inlineStr">
        <is>
          <t>Astral Limited</t>
        </is>
      </c>
      <c r="F6" s="10" t="inlineStr">
        <is>
          <t>Ahmedabad, India</t>
        </is>
      </c>
    </row>
    <row r="7" hidden="1" outlineLevel="1">
      <c r="A7" s="7" t="n">
        <v>5</v>
      </c>
      <c r="B7" s="8" t="inlineStr">
        <is>
          <t>Vikas Sharma</t>
        </is>
      </c>
      <c r="C7" s="8" t="inlineStr">
        <is>
          <t>Vice President (Projects), Astral Limited</t>
        </is>
      </c>
      <c r="D7" s="9" t="inlineStr">
        <is>
          <t>Vikas Sharma</t>
        </is>
      </c>
      <c r="E7" s="9" t="inlineStr">
        <is>
          <t>Astral Limited</t>
        </is>
      </c>
      <c r="F7" s="7" t="inlineStr">
        <is>
          <t>Ahmedabad, India</t>
        </is>
      </c>
    </row>
    <row r="9" ht="28" customHeight="1">
      <c r="A9" s="4" t="inlineStr">
        <is>
          <t xml:space="preserve">  ▸ V-Guard Industries Limited  (9 contacts)</t>
        </is>
      </c>
      <c r="B9" s="5" t="n"/>
      <c r="C9" s="5" t="n"/>
      <c r="D9" s="5" t="n"/>
      <c r="E9" s="5" t="n"/>
      <c r="F9" s="5" t="n"/>
    </row>
    <row r="10" hidden="1" outlineLevel="1">
      <c r="A10" s="6" t="inlineStr">
        <is>
          <t>#</t>
        </is>
      </c>
      <c r="B10" s="6" t="inlineStr">
        <is>
          <t>Name</t>
        </is>
      </c>
      <c r="C10" s="6" t="inlineStr">
        <is>
          <t>Position</t>
        </is>
      </c>
      <c r="D10" s="6" t="inlineStr">
        <is>
          <t>LinkedIn (Person)</t>
        </is>
      </c>
      <c r="E10" s="6" t="inlineStr">
        <is>
          <t>Company LinkedIn</t>
        </is>
      </c>
      <c r="F10" s="6" t="inlineStr">
        <is>
          <t>Location</t>
        </is>
      </c>
    </row>
    <row r="11" hidden="1" outlineLevel="1">
      <c r="A11" s="7" t="n">
        <v>1</v>
      </c>
      <c r="B11" s="8" t="inlineStr">
        <is>
          <t>Mithun Chittilappilly</t>
        </is>
      </c>
      <c r="C11" s="8" t="inlineStr">
        <is>
          <t>MD @ V-Guard Industries Ltd.</t>
        </is>
      </c>
      <c r="D11" s="9" t="inlineStr">
        <is>
          <t>Mithun Chittilappilly</t>
        </is>
      </c>
      <c r="E11" s="9" t="inlineStr">
        <is>
          <t>V-Guard Industries Limited</t>
        </is>
      </c>
      <c r="F11" s="7" t="inlineStr">
        <is>
          <t>Kochi, India</t>
        </is>
      </c>
    </row>
    <row r="12" hidden="1" outlineLevel="1">
      <c r="A12" s="10" t="n">
        <v>2</v>
      </c>
      <c r="B12" s="11" t="inlineStr">
        <is>
          <t>Vikas Tak</t>
        </is>
      </c>
      <c r="C12" s="11" t="inlineStr">
        <is>
          <t>Company Secretary and Compliance Officer</t>
        </is>
      </c>
      <c r="D12" s="12" t="inlineStr">
        <is>
          <t>Vikas Tak</t>
        </is>
      </c>
      <c r="E12" s="12" t="inlineStr">
        <is>
          <t>V-Guard Industries Limited</t>
        </is>
      </c>
      <c r="F12" s="10" t="inlineStr">
        <is>
          <t>Kochi, India</t>
        </is>
      </c>
    </row>
    <row r="13" hidden="1" outlineLevel="1">
      <c r="A13" s="7" t="n">
        <v>3</v>
      </c>
      <c r="B13" s="8" t="inlineStr">
        <is>
          <t>Saleesh Sekhar</t>
        </is>
      </c>
      <c r="C13" s="8" t="inlineStr">
        <is>
          <t>Chief Financial Officer (V-Guard Consumer Products Ltd.)</t>
        </is>
      </c>
      <c r="D13" s="9" t="inlineStr">
        <is>
          <t>Saleesh Sekhar</t>
        </is>
      </c>
      <c r="E13" s="9" t="inlineStr">
        <is>
          <t>V-Guard Industries Limited</t>
        </is>
      </c>
      <c r="F13" s="7" t="inlineStr">
        <is>
          <t>Kochi, India</t>
        </is>
      </c>
    </row>
    <row r="14" hidden="1" outlineLevel="1">
      <c r="A14" s="10" t="n">
        <v>4</v>
      </c>
      <c r="B14" s="11" t="inlineStr">
        <is>
          <t>Sudarshan Kasturi</t>
        </is>
      </c>
      <c r="C14" s="11" t="inlineStr">
        <is>
          <t>CFO, V-Guard Industries Ltd</t>
        </is>
      </c>
      <c r="D14" s="12" t="inlineStr">
        <is>
          <t>Sudarshan Kasturi</t>
        </is>
      </c>
      <c r="E14" s="12" t="inlineStr">
        <is>
          <t>V-Guard Industries Limited</t>
        </is>
      </c>
      <c r="F14" s="10" t="inlineStr">
        <is>
          <t>Kochi, India</t>
        </is>
      </c>
    </row>
    <row r="15" hidden="1" outlineLevel="1">
      <c r="A15" s="7" t="n">
        <v>5</v>
      </c>
      <c r="B15" s="8" t="inlineStr">
        <is>
          <t>Ramachandran Venkataraman</t>
        </is>
      </c>
      <c r="C15" s="8" t="inlineStr">
        <is>
          <t>Director, V-Guard Industries Ltd</t>
        </is>
      </c>
      <c r="D15" s="9" t="inlineStr">
        <is>
          <t>Ramachandran Venkataraman</t>
        </is>
      </c>
      <c r="E15" s="9" t="inlineStr">
        <is>
          <t>V-Guard Industries Limited</t>
        </is>
      </c>
      <c r="F15" s="7" t="inlineStr">
        <is>
          <t>Kochi, India</t>
        </is>
      </c>
    </row>
    <row r="16" hidden="1" outlineLevel="1">
      <c r="A16" s="10" t="n">
        <v>6</v>
      </c>
      <c r="B16" s="11" t="inlineStr">
        <is>
          <t>Karthikeyan S</t>
        </is>
      </c>
      <c r="C16" s="11" t="inlineStr">
        <is>
          <t>Asst Vice President - SCM</t>
        </is>
      </c>
      <c r="D16" s="12" t="inlineStr">
        <is>
          <t>Karthikeyan S</t>
        </is>
      </c>
      <c r="E16" s="12" t="inlineStr">
        <is>
          <t>V-Guard Industries Limited</t>
        </is>
      </c>
      <c r="F16" s="10" t="inlineStr">
        <is>
          <t>Kochi, India</t>
        </is>
      </c>
    </row>
    <row r="17" hidden="1" outlineLevel="1">
      <c r="A17" s="7" t="n">
        <v>7</v>
      </c>
      <c r="B17" s="8" t="inlineStr">
        <is>
          <t>Sreekumar Achuthan Nair</t>
        </is>
      </c>
      <c r="C17" s="8" t="inlineStr">
        <is>
          <t>Vice President, Corporate Manufacturing Services &amp; WCD</t>
        </is>
      </c>
      <c r="D17" s="9" t="inlineStr">
        <is>
          <t>Sreekumar Achuthan Nair</t>
        </is>
      </c>
      <c r="E17" s="9" t="inlineStr">
        <is>
          <t>V-Guard Industries Limited</t>
        </is>
      </c>
      <c r="F17" s="7" t="inlineStr">
        <is>
          <t>Kochi, India</t>
        </is>
      </c>
    </row>
    <row r="18" hidden="1" outlineLevel="1">
      <c r="A18" s="10" t="n">
        <v>8</v>
      </c>
      <c r="B18" s="11" t="inlineStr">
        <is>
          <t>Suresh Balakrishnan</t>
        </is>
      </c>
      <c r="C18" s="11" t="inlineStr">
        <is>
          <t>Head of Commercial Operations</t>
        </is>
      </c>
      <c r="D18" s="12" t="inlineStr">
        <is>
          <t>Suresh Balakrishnan</t>
        </is>
      </c>
      <c r="E18" s="12" t="inlineStr">
        <is>
          <t>V-Guard Industries Limited</t>
        </is>
      </c>
      <c r="F18" s="10" t="inlineStr">
        <is>
          <t>Kochi, India</t>
        </is>
      </c>
    </row>
    <row r="19" hidden="1" outlineLevel="1">
      <c r="A19" s="7" t="n">
        <v>9</v>
      </c>
      <c r="B19" s="8" t="inlineStr">
        <is>
          <t>Gaurav Arora</t>
        </is>
      </c>
      <c r="C19" s="8" t="inlineStr">
        <is>
          <t>Company Secretary | LLB | V-Guard Industries Ltd.</t>
        </is>
      </c>
      <c r="D19" s="9" t="inlineStr">
        <is>
          <t>Gaurav Arora</t>
        </is>
      </c>
      <c r="E19" s="9" t="inlineStr">
        <is>
          <t>V-Guard Industries Limited</t>
        </is>
      </c>
      <c r="F19" s="7" t="inlineStr">
        <is>
          <t>Kochi, India</t>
        </is>
      </c>
    </row>
    <row r="21" ht="28" customHeight="1">
      <c r="A21" s="4" t="inlineStr">
        <is>
          <t xml:space="preserve">  ▸ Sundram Fasteners Limited  (10 contacts)</t>
        </is>
      </c>
      <c r="B21" s="5" t="n"/>
      <c r="C21" s="5" t="n"/>
      <c r="D21" s="5" t="n"/>
      <c r="E21" s="5" t="n"/>
      <c r="F21" s="5" t="n"/>
    </row>
    <row r="22" hidden="1" outlineLevel="1">
      <c r="A22" s="6" t="inlineStr">
        <is>
          <t>#</t>
        </is>
      </c>
      <c r="B22" s="6" t="inlineStr">
        <is>
          <t>Name</t>
        </is>
      </c>
      <c r="C22" s="6" t="inlineStr">
        <is>
          <t>Position</t>
        </is>
      </c>
      <c r="D22" s="6" t="inlineStr">
        <is>
          <t>LinkedIn (Person)</t>
        </is>
      </c>
      <c r="E22" s="6" t="inlineStr">
        <is>
          <t>Company LinkedIn</t>
        </is>
      </c>
      <c r="F22" s="6" t="inlineStr">
        <is>
          <t>Location</t>
        </is>
      </c>
    </row>
    <row r="23" hidden="1" outlineLevel="1">
      <c r="A23" s="7" t="n">
        <v>1</v>
      </c>
      <c r="B23" s="8" t="inlineStr">
        <is>
          <t>Dr. Ramesh S</t>
        </is>
      </c>
      <c r="C23" s="8" t="inlineStr">
        <is>
          <t>Executive Vice President - Operations, Powertrain Division</t>
        </is>
      </c>
      <c r="D23" s="9" t="inlineStr">
        <is>
          <t>Dr. Ramesh S</t>
        </is>
      </c>
      <c r="E23" s="9" t="inlineStr">
        <is>
          <t>Sundram Fasteners Limited</t>
        </is>
      </c>
      <c r="F23" s="7" t="inlineStr">
        <is>
          <t>Chennai, India</t>
        </is>
      </c>
    </row>
    <row r="24" hidden="1" outlineLevel="1">
      <c r="A24" s="10" t="n">
        <v>2</v>
      </c>
      <c r="B24" s="11" t="inlineStr">
        <is>
          <t>Krishnan Ramanujan</t>
        </is>
      </c>
      <c r="C24" s="11" t="inlineStr">
        <is>
          <t>Executive Vice President - Marketing</t>
        </is>
      </c>
      <c r="D24" s="12" t="inlineStr">
        <is>
          <t>Krishnan Ramanujan</t>
        </is>
      </c>
      <c r="E24" s="12" t="inlineStr">
        <is>
          <t>Sundram Fasteners Limited</t>
        </is>
      </c>
      <c r="F24" s="10" t="inlineStr">
        <is>
          <t>Chennai, India</t>
        </is>
      </c>
    </row>
    <row r="25" hidden="1" outlineLevel="1">
      <c r="A25" s="7" t="n">
        <v>3</v>
      </c>
      <c r="B25" s="8" t="inlineStr">
        <is>
          <t>Ganesh Ramamoorthy</t>
        </is>
      </c>
      <c r="C25" s="8" t="inlineStr">
        <is>
          <t>Vice President - Finance &amp; Projects</t>
        </is>
      </c>
      <c r="D25" s="9" t="inlineStr">
        <is>
          <t>Ganesh Ramamoorthy</t>
        </is>
      </c>
      <c r="E25" s="9" t="inlineStr">
        <is>
          <t>Sundram Fasteners Limited</t>
        </is>
      </c>
      <c r="F25" s="7" t="inlineStr">
        <is>
          <t>Chennai, India</t>
        </is>
      </c>
    </row>
    <row r="26" hidden="1" outlineLevel="1">
      <c r="A26" s="10" t="n">
        <v>4</v>
      </c>
      <c r="B26" s="11" t="inlineStr">
        <is>
          <t>M. Sundaram Srinivasan</t>
        </is>
      </c>
      <c r="C26" s="11" t="inlineStr">
        <is>
          <t>Vice President - Finance</t>
        </is>
      </c>
      <c r="D26" s="12" t="inlineStr">
        <is>
          <t>M. Sundaram Srinivasan</t>
        </is>
      </c>
      <c r="E26" s="12" t="inlineStr">
        <is>
          <t>Sundram Fasteners Limited</t>
        </is>
      </c>
      <c r="F26" s="10" t="inlineStr">
        <is>
          <t>Chennai, India</t>
        </is>
      </c>
    </row>
    <row r="27" hidden="1" outlineLevel="1">
      <c r="A27" s="7" t="n">
        <v>5</v>
      </c>
      <c r="B27" s="8" t="inlineStr">
        <is>
          <t>P Padmanabhan</t>
        </is>
      </c>
      <c r="C27" s="8" t="inlineStr">
        <is>
          <t>Sr. General Manager</t>
        </is>
      </c>
      <c r="D27" s="9" t="inlineStr">
        <is>
          <t>P Padmanabhan</t>
        </is>
      </c>
      <c r="E27" s="9" t="inlineStr">
        <is>
          <t>Sundram Fasteners Limited</t>
        </is>
      </c>
      <c r="F27" s="7" t="inlineStr">
        <is>
          <t>Chennai, India</t>
        </is>
      </c>
    </row>
    <row r="28" hidden="1" outlineLevel="1">
      <c r="A28" s="10" t="n">
        <v>6</v>
      </c>
      <c r="B28" s="11" t="inlineStr">
        <is>
          <t>Vaitheeshkumar Subramanian</t>
        </is>
      </c>
      <c r="C28" s="11" t="inlineStr">
        <is>
          <t>Vice President</t>
        </is>
      </c>
      <c r="D28" s="12" t="inlineStr">
        <is>
          <t>Vaitheeshkumar Subramanian</t>
        </is>
      </c>
      <c r="E28" s="12" t="inlineStr">
        <is>
          <t>Sundram Fasteners Limited</t>
        </is>
      </c>
      <c r="F28" s="10" t="inlineStr">
        <is>
          <t>Chennai, India</t>
        </is>
      </c>
    </row>
    <row r="29" hidden="1" outlineLevel="1">
      <c r="A29" s="7" t="n">
        <v>7</v>
      </c>
      <c r="B29" s="8" t="inlineStr">
        <is>
          <t>S V Mahesh</t>
        </is>
      </c>
      <c r="C29" s="8" t="inlineStr">
        <is>
          <t>Executive Director</t>
        </is>
      </c>
      <c r="D29" s="9" t="inlineStr">
        <is>
          <t>S V Mahesh</t>
        </is>
      </c>
      <c r="E29" s="9" t="inlineStr">
        <is>
          <t>Sundram Fasteners Limited</t>
        </is>
      </c>
      <c r="F29" s="7" t="inlineStr">
        <is>
          <t>Chennai, India</t>
        </is>
      </c>
    </row>
    <row r="30" hidden="1" outlineLevel="1">
      <c r="A30" s="10" t="n">
        <v>8</v>
      </c>
      <c r="B30" s="11" t="inlineStr">
        <is>
          <t>Seshadri Ramanujam</t>
        </is>
      </c>
      <c r="C30" s="11" t="inlineStr">
        <is>
          <t>Head of Manufacturing</t>
        </is>
      </c>
      <c r="D30" s="12" t="inlineStr">
        <is>
          <t>Seshadri Ramanujam</t>
        </is>
      </c>
      <c r="E30" s="12" t="inlineStr">
        <is>
          <t>Sundram Fasteners Limited</t>
        </is>
      </c>
      <c r="F30" s="10" t="inlineStr">
        <is>
          <t>Chennai, India</t>
        </is>
      </c>
    </row>
    <row r="31" hidden="1" outlineLevel="1">
      <c r="A31" s="7" t="n">
        <v>9</v>
      </c>
      <c r="B31" s="8" t="inlineStr">
        <is>
          <t>Rajendran G</t>
        </is>
      </c>
      <c r="C31" s="8" t="inlineStr">
        <is>
          <t>Ex-Head Of Manufacturing</t>
        </is>
      </c>
      <c r="D31" s="9" t="inlineStr">
        <is>
          <t>Rajendran G</t>
        </is>
      </c>
      <c r="E31" s="9" t="inlineStr">
        <is>
          <t>Sundram Fasteners Limited</t>
        </is>
      </c>
      <c r="F31" s="7" t="inlineStr">
        <is>
          <t>Chennai, India</t>
        </is>
      </c>
    </row>
    <row r="32" hidden="1" outlineLevel="1">
      <c r="A32" s="10" t="n">
        <v>10</v>
      </c>
      <c r="B32" s="11" t="inlineStr">
        <is>
          <t>Atul Kumar Agrawal</t>
        </is>
      </c>
      <c r="C32" s="11" t="inlineStr">
        <is>
          <t>Executive Vice President of Engineering</t>
        </is>
      </c>
      <c r="D32" s="12" t="inlineStr">
        <is>
          <t>Atul Kumar Agrawal</t>
        </is>
      </c>
      <c r="E32" s="12" t="inlineStr">
        <is>
          <t>Sundram Fasteners Limited</t>
        </is>
      </c>
      <c r="F32" s="10" t="inlineStr">
        <is>
          <t>Chennai, India</t>
        </is>
      </c>
    </row>
    <row r="34" ht="28" customHeight="1">
      <c r="A34" s="4" t="inlineStr">
        <is>
          <t xml:space="preserve">  ▸ JBM Auto Limited  (10 contacts)</t>
        </is>
      </c>
      <c r="B34" s="5" t="n"/>
      <c r="C34" s="5" t="n"/>
      <c r="D34" s="5" t="n"/>
      <c r="E34" s="5" t="n"/>
      <c r="F34" s="5" t="n"/>
    </row>
    <row r="35" hidden="1" outlineLevel="1">
      <c r="A35" s="6" t="inlineStr">
        <is>
          <t>#</t>
        </is>
      </c>
      <c r="B35" s="6" t="inlineStr">
        <is>
          <t>Name</t>
        </is>
      </c>
      <c r="C35" s="6" t="inlineStr">
        <is>
          <t>Position</t>
        </is>
      </c>
      <c r="D35" s="6" t="inlineStr">
        <is>
          <t>LinkedIn (Person)</t>
        </is>
      </c>
      <c r="E35" s="6" t="inlineStr">
        <is>
          <t>Company LinkedIn</t>
        </is>
      </c>
      <c r="F35" s="6" t="inlineStr">
        <is>
          <t>Location</t>
        </is>
      </c>
    </row>
    <row r="36" hidden="1" outlineLevel="1">
      <c r="A36" s="7" t="n">
        <v>1</v>
      </c>
      <c r="B36" s="8" t="inlineStr">
        <is>
          <t>Dhiraj Mohan</t>
        </is>
      </c>
      <c r="C36" s="8" t="inlineStr">
        <is>
          <t>Executive Director at JBM Auto Ltd</t>
        </is>
      </c>
      <c r="D36" s="9" t="inlineStr">
        <is>
          <t>Dhiraj Mohan</t>
        </is>
      </c>
      <c r="E36" s="9" t="inlineStr">
        <is>
          <t>JBM Auto Limited</t>
        </is>
      </c>
      <c r="F36" s="7" t="inlineStr">
        <is>
          <t>Gurugram, India</t>
        </is>
      </c>
    </row>
    <row r="37" hidden="1" outlineLevel="1">
      <c r="A37" s="10" t="n">
        <v>2</v>
      </c>
      <c r="B37" s="11" t="inlineStr">
        <is>
          <t>Vivek Gupta</t>
        </is>
      </c>
      <c r="C37" s="11" t="inlineStr">
        <is>
          <t>President &amp; CFO at JBM Auto Ltd.</t>
        </is>
      </c>
      <c r="D37" s="12" t="inlineStr">
        <is>
          <t>Vivek Gupta</t>
        </is>
      </c>
      <c r="E37" s="12" t="inlineStr">
        <is>
          <t>JBM Auto Limited</t>
        </is>
      </c>
      <c r="F37" s="10" t="inlineStr">
        <is>
          <t>Gurugram, India</t>
        </is>
      </c>
    </row>
    <row r="38" hidden="1" outlineLevel="1">
      <c r="A38" s="7" t="n">
        <v>3</v>
      </c>
      <c r="B38" s="8" t="inlineStr">
        <is>
          <t>Daljit Singh</t>
        </is>
      </c>
      <c r="C38" s="8" t="inlineStr">
        <is>
          <t>Head Of Operations at JBM EV Industries (Bus division)</t>
        </is>
      </c>
      <c r="D38" s="9" t="inlineStr">
        <is>
          <t>Daljit Singh</t>
        </is>
      </c>
      <c r="E38" s="9" t="inlineStr">
        <is>
          <t>JBM Auto Limited</t>
        </is>
      </c>
      <c r="F38" s="7" t="inlineStr">
        <is>
          <t>Gurugram, India</t>
        </is>
      </c>
    </row>
    <row r="39" hidden="1" outlineLevel="1">
      <c r="A39" s="10" t="n">
        <v>4</v>
      </c>
      <c r="B39" s="11" t="inlineStr">
        <is>
          <t>Rajiv Sahdev</t>
        </is>
      </c>
      <c r="C39" s="11" t="inlineStr">
        <is>
          <t>President &amp; Group CHRO at JBM Group</t>
        </is>
      </c>
      <c r="D39" s="12" t="inlineStr">
        <is>
          <t>Rajiv Sahdev</t>
        </is>
      </c>
      <c r="E39" s="12" t="inlineStr">
        <is>
          <t>JBM Auto Limited</t>
        </is>
      </c>
      <c r="F39" s="10" t="inlineStr">
        <is>
          <t>Gurugram, India</t>
        </is>
      </c>
    </row>
    <row r="40" hidden="1" outlineLevel="1">
      <c r="A40" s="7" t="n">
        <v>5</v>
      </c>
      <c r="B40" s="8" t="inlineStr">
        <is>
          <t>Sanjay Rusia</t>
        </is>
      </c>
      <c r="C40" s="8" t="inlineStr">
        <is>
          <t>President &amp; CEO at JBM Electric Vehicles Pvt. Ltd.</t>
        </is>
      </c>
      <c r="D40" s="9" t="inlineStr">
        <is>
          <t>Sanjay Rusia</t>
        </is>
      </c>
      <c r="E40" s="9" t="inlineStr">
        <is>
          <t>JBM Auto Limited</t>
        </is>
      </c>
      <c r="F40" s="7" t="inlineStr">
        <is>
          <t>Gurugram, India</t>
        </is>
      </c>
    </row>
    <row r="41" hidden="1" outlineLevel="1">
      <c r="A41" s="10" t="n">
        <v>6</v>
      </c>
      <c r="B41" s="11" t="inlineStr">
        <is>
          <t>Nishant Arya</t>
        </is>
      </c>
      <c r="C41" s="11" t="inlineStr">
        <is>
          <t>Vice Chairman at JBM Group &amp; Chairman - Linde Wiemann Gmbh</t>
        </is>
      </c>
      <c r="D41" s="12" t="inlineStr">
        <is>
          <t>Nishant Arya</t>
        </is>
      </c>
      <c r="E41" s="12" t="inlineStr">
        <is>
          <t>JBM Auto Limited</t>
        </is>
      </c>
      <c r="F41" s="10" t="inlineStr">
        <is>
          <t>Gurugram, India</t>
        </is>
      </c>
    </row>
    <row r="42" hidden="1" outlineLevel="1">
      <c r="A42" s="7" t="n">
        <v>7</v>
      </c>
      <c r="B42" s="8" t="inlineStr">
        <is>
          <t>Deepak Thakur</t>
        </is>
      </c>
      <c r="C42" s="8" t="inlineStr">
        <is>
          <t>Chief Executive Officer / EV Business Expert (per profile)</t>
        </is>
      </c>
      <c r="D42" s="9" t="inlineStr">
        <is>
          <t>Deepak Thakur</t>
        </is>
      </c>
      <c r="E42" s="9" t="inlineStr">
        <is>
          <t>JBM Auto Limited</t>
        </is>
      </c>
      <c r="F42" s="7" t="inlineStr">
        <is>
          <t>Gurugram, India</t>
        </is>
      </c>
    </row>
    <row r="43" hidden="1" outlineLevel="1">
      <c r="A43" s="10" t="n">
        <v>8</v>
      </c>
      <c r="B43" s="11" t="inlineStr">
        <is>
          <t>Praveen Malik</t>
        </is>
      </c>
      <c r="C43" s="11" t="inlineStr">
        <is>
          <t>Head Group Business Excellence &amp; Vice President, JBM Group</t>
        </is>
      </c>
      <c r="D43" s="12" t="inlineStr">
        <is>
          <t>Praveen Malik</t>
        </is>
      </c>
      <c r="E43" s="12" t="inlineStr">
        <is>
          <t>JBM Auto Limited</t>
        </is>
      </c>
      <c r="F43" s="10" t="inlineStr">
        <is>
          <t>Gurugram, India</t>
        </is>
      </c>
    </row>
    <row r="44" hidden="1" outlineLevel="1">
      <c r="A44" s="7" t="n">
        <v>9</v>
      </c>
      <c r="B44" s="8" t="inlineStr">
        <is>
          <t>Mayank Varma</t>
        </is>
      </c>
      <c r="C44" s="8" t="inlineStr">
        <is>
          <t>President &amp; Business Head, JBM Group</t>
        </is>
      </c>
      <c r="D44" s="9" t="inlineStr">
        <is>
          <t>Mayank Varma</t>
        </is>
      </c>
      <c r="E44" s="9" t="inlineStr">
        <is>
          <t>JBM Auto Limited</t>
        </is>
      </c>
      <c r="F44" s="7" t="inlineStr">
        <is>
          <t>Gurugram, India</t>
        </is>
      </c>
    </row>
    <row r="45" hidden="1" outlineLevel="1">
      <c r="A45" s="10" t="n">
        <v>10</v>
      </c>
      <c r="B45" s="11" t="inlineStr">
        <is>
          <t>Nandkishor Borse</t>
        </is>
      </c>
      <c r="C45" s="11" t="inlineStr">
        <is>
          <t>Head of HRPA at JBM AUTO LIMITED</t>
        </is>
      </c>
      <c r="D45" s="12" t="inlineStr">
        <is>
          <t>Nandkishor Borse</t>
        </is>
      </c>
      <c r="E45" s="12" t="inlineStr">
        <is>
          <t>JBM Auto Limited</t>
        </is>
      </c>
      <c r="F45" s="10" t="inlineStr">
        <is>
          <t>Gurugram, India</t>
        </is>
      </c>
    </row>
    <row r="47" ht="28" customHeight="1">
      <c r="A47" s="4" t="inlineStr">
        <is>
          <t xml:space="preserve">  ▸ Minda Corporation Limited  (5 contacts)</t>
        </is>
      </c>
      <c r="B47" s="5" t="n"/>
      <c r="C47" s="5" t="n"/>
      <c r="D47" s="5" t="n"/>
      <c r="E47" s="5" t="n"/>
      <c r="F47" s="5" t="n"/>
    </row>
    <row r="48" hidden="1" outlineLevel="1">
      <c r="A48" s="6" t="inlineStr">
        <is>
          <t>#</t>
        </is>
      </c>
      <c r="B48" s="6" t="inlineStr">
        <is>
          <t>Name</t>
        </is>
      </c>
      <c r="C48" s="6" t="inlineStr">
        <is>
          <t>Position</t>
        </is>
      </c>
      <c r="D48" s="6" t="inlineStr">
        <is>
          <t>LinkedIn (Person)</t>
        </is>
      </c>
      <c r="E48" s="6" t="inlineStr">
        <is>
          <t>Company LinkedIn</t>
        </is>
      </c>
      <c r="F48" s="6" t="inlineStr">
        <is>
          <t>Location</t>
        </is>
      </c>
    </row>
    <row r="49" hidden="1" outlineLevel="1">
      <c r="A49" s="7" t="n">
        <v>1</v>
      </c>
      <c r="B49" s="8" t="inlineStr">
        <is>
          <t>Ashok Minda</t>
        </is>
      </c>
      <c r="C49" s="8" t="inlineStr">
        <is>
          <t>Chairman &amp; Group CEO</t>
        </is>
      </c>
      <c r="D49" s="9" t="inlineStr">
        <is>
          <t>Ashok Minda</t>
        </is>
      </c>
      <c r="E49" s="9" t="inlineStr">
        <is>
          <t>Minda Corporation Limited</t>
        </is>
      </c>
      <c r="F49" s="7" t="inlineStr">
        <is>
          <t>Noida, India</t>
        </is>
      </c>
    </row>
    <row r="50" hidden="1" outlineLevel="1">
      <c r="A50" s="10" t="n">
        <v>2</v>
      </c>
      <c r="B50" s="11" t="inlineStr">
        <is>
          <t>Aakash Minda</t>
        </is>
      </c>
      <c r="C50" s="11" t="inlineStr">
        <is>
          <t>Executive Director, Minda Corporation Ltd.</t>
        </is>
      </c>
      <c r="D50" s="12" t="inlineStr">
        <is>
          <t>Aakash Minda</t>
        </is>
      </c>
      <c r="E50" s="12" t="inlineStr">
        <is>
          <t>Minda Corporation Limited</t>
        </is>
      </c>
      <c r="F50" s="10" t="inlineStr">
        <is>
          <t>Noida, India</t>
        </is>
      </c>
    </row>
    <row r="51" hidden="1" outlineLevel="1">
      <c r="A51" s="7" t="n">
        <v>3</v>
      </c>
      <c r="B51" s="8" t="inlineStr">
        <is>
          <t>Sumit Doseja</t>
        </is>
      </c>
      <c r="C51" s="8" t="inlineStr">
        <is>
          <t>CEO at Minda Corporation Limited</t>
        </is>
      </c>
      <c r="D51" s="9" t="inlineStr">
        <is>
          <t>Sumit Doseja</t>
        </is>
      </c>
      <c r="E51" s="9" t="inlineStr">
        <is>
          <t>Minda Corporation Limited</t>
        </is>
      </c>
      <c r="F51" s="7" t="inlineStr">
        <is>
          <t>Noida, India</t>
        </is>
      </c>
    </row>
    <row r="52" hidden="1" outlineLevel="1">
      <c r="A52" s="10" t="n">
        <v>4</v>
      </c>
      <c r="B52" s="11" t="inlineStr">
        <is>
          <t>Sunil Goel</t>
        </is>
      </c>
      <c r="C52" s="11" t="inlineStr">
        <is>
          <t>CEO at Minda Corporation limited (AMD)</t>
        </is>
      </c>
      <c r="D52" s="12" t="inlineStr">
        <is>
          <t>Sunil Goel</t>
        </is>
      </c>
      <c r="E52" s="12" t="inlineStr">
        <is>
          <t>Minda Corporation Limited</t>
        </is>
      </c>
      <c r="F52" s="10" t="inlineStr">
        <is>
          <t>Noida, India</t>
        </is>
      </c>
    </row>
    <row r="53" hidden="1" outlineLevel="1">
      <c r="A53" s="7" t="n">
        <v>5</v>
      </c>
      <c r="B53" s="8" t="inlineStr">
        <is>
          <t>Deepak Arora</t>
        </is>
      </c>
      <c r="C53" s="8" t="inlineStr">
        <is>
          <t>CEO at Spark Minda, Ashok Minda Group</t>
        </is>
      </c>
      <c r="D53" s="9" t="inlineStr">
        <is>
          <t>Deepak Arora</t>
        </is>
      </c>
      <c r="E53" s="9" t="inlineStr">
        <is>
          <t>Minda Corporation Limited</t>
        </is>
      </c>
      <c r="F53" s="7" t="inlineStr">
        <is>
          <t>Noida, India</t>
        </is>
      </c>
    </row>
    <row r="55" ht="28" customHeight="1">
      <c r="A55" s="4" t="inlineStr">
        <is>
          <t xml:space="preserve">  ▸ Ram Ratna Wires Limited  (7 contacts)</t>
        </is>
      </c>
      <c r="B55" s="5" t="n"/>
      <c r="C55" s="5" t="n"/>
      <c r="D55" s="5" t="n"/>
      <c r="E55" s="5" t="n"/>
      <c r="F55" s="5" t="n"/>
    </row>
    <row r="56" hidden="1" outlineLevel="1">
      <c r="A56" s="6" t="inlineStr">
        <is>
          <t>#</t>
        </is>
      </c>
      <c r="B56" s="6" t="inlineStr">
        <is>
          <t>Name</t>
        </is>
      </c>
      <c r="C56" s="6" t="inlineStr">
        <is>
          <t>Position</t>
        </is>
      </c>
      <c r="D56" s="6" t="inlineStr">
        <is>
          <t>LinkedIn (Person)</t>
        </is>
      </c>
      <c r="E56" s="6" t="inlineStr">
        <is>
          <t>Company LinkedIn</t>
        </is>
      </c>
      <c r="F56" s="6" t="inlineStr">
        <is>
          <t>Location</t>
        </is>
      </c>
    </row>
    <row r="57" hidden="1" outlineLevel="1">
      <c r="A57" s="7" t="n">
        <v>1</v>
      </c>
      <c r="B57" s="8" t="inlineStr">
        <is>
          <t>Nimesh Shukla</t>
        </is>
      </c>
      <c r="C57" s="8" t="inlineStr">
        <is>
          <t>AGM Technical Cell at Ram Ratna Wires Ltd</t>
        </is>
      </c>
      <c r="D57" s="9" t="inlineStr">
        <is>
          <t>Nimesh Shukla</t>
        </is>
      </c>
      <c r="E57" s="9" t="inlineStr">
        <is>
          <t>Ram Ratna Wires Limited</t>
        </is>
      </c>
      <c r="F57" s="7" t="inlineStr">
        <is>
          <t>Mumbai, India</t>
        </is>
      </c>
    </row>
    <row r="58" hidden="1" outlineLevel="1">
      <c r="A58" s="10" t="n">
        <v>2</v>
      </c>
      <c r="B58" s="11" t="inlineStr">
        <is>
          <t>Sunil Kumar Singh</t>
        </is>
      </c>
      <c r="C58" s="11" t="inlineStr">
        <is>
          <t>AGM - Marketing at Ram Ratna Wires Ltd</t>
        </is>
      </c>
      <c r="D58" s="12" t="inlineStr">
        <is>
          <t>Sunil Kumar Singh</t>
        </is>
      </c>
      <c r="E58" s="12" t="inlineStr">
        <is>
          <t>Ram Ratna Wires Limited</t>
        </is>
      </c>
      <c r="F58" s="10" t="inlineStr">
        <is>
          <t>Mumbai, India</t>
        </is>
      </c>
    </row>
    <row r="59" hidden="1" outlineLevel="1">
      <c r="A59" s="7" t="n">
        <v>3</v>
      </c>
      <c r="B59" s="8" t="inlineStr">
        <is>
          <t>Vijay Chandak</t>
        </is>
      </c>
      <c r="C59" s="8" t="inlineStr">
        <is>
          <t>Vice President at Ram Ratna Wires Ltd</t>
        </is>
      </c>
      <c r="D59" s="9" t="inlineStr">
        <is>
          <t>Vijay Chandak</t>
        </is>
      </c>
      <c r="E59" s="9" t="inlineStr">
        <is>
          <t>Ram Ratna Wires Limited</t>
        </is>
      </c>
      <c r="F59" s="7" t="inlineStr">
        <is>
          <t>Mumbai, India</t>
        </is>
      </c>
    </row>
    <row r="60" hidden="1" outlineLevel="1">
      <c r="A60" s="10" t="n">
        <v>4</v>
      </c>
      <c r="B60" s="11" t="inlineStr">
        <is>
          <t>Nitin Baheti</t>
        </is>
      </c>
      <c r="C60" s="11" t="inlineStr">
        <is>
          <t>Business Owner at Ram Ratna Wires Ltd</t>
        </is>
      </c>
      <c r="D60" s="12" t="inlineStr">
        <is>
          <t>Nitin Baheti</t>
        </is>
      </c>
      <c r="E60" s="12" t="inlineStr">
        <is>
          <t>Ram Ratna Wires Limited</t>
        </is>
      </c>
      <c r="F60" s="10" t="inlineStr">
        <is>
          <t>Mumbai, India</t>
        </is>
      </c>
    </row>
    <row r="61" hidden="1" outlineLevel="1">
      <c r="A61" s="7" t="n">
        <v>5</v>
      </c>
      <c r="B61" s="8" t="inlineStr">
        <is>
          <t>Sudhir Masaji</t>
        </is>
      </c>
      <c r="C61" s="8" t="inlineStr">
        <is>
          <t>Director (Ram Ratna Group of Industries)</t>
        </is>
      </c>
      <c r="D61" s="9" t="inlineStr">
        <is>
          <t>Sudhir Masaji</t>
        </is>
      </c>
      <c r="E61" s="9" t="inlineStr">
        <is>
          <t>Ram Ratna Wires Limited</t>
        </is>
      </c>
      <c r="F61" s="7" t="inlineStr">
        <is>
          <t>Mumbai, India</t>
        </is>
      </c>
    </row>
    <row r="62" hidden="1" outlineLevel="1">
      <c r="A62" s="10" t="n">
        <v>6</v>
      </c>
      <c r="B62" s="11" t="inlineStr">
        <is>
          <t>Saurabh Gupta</t>
        </is>
      </c>
      <c r="C62" s="11" t="inlineStr">
        <is>
          <t>Assistant General Manager - Company Secretary (Ram Ratna Wires Limited)</t>
        </is>
      </c>
      <c r="D62" s="12" t="inlineStr">
        <is>
          <t>Saurabh Gupta</t>
        </is>
      </c>
      <c r="E62" s="12" t="inlineStr">
        <is>
          <t>Ram Ratna Wires Limited</t>
        </is>
      </c>
      <c r="F62" s="10" t="inlineStr">
        <is>
          <t>Mumbai, India</t>
        </is>
      </c>
    </row>
    <row r="63" hidden="1" outlineLevel="1">
      <c r="A63" s="7" t="n">
        <v>7</v>
      </c>
      <c r="B63" s="8" t="inlineStr">
        <is>
          <t>Jigar Vaghela</t>
        </is>
      </c>
      <c r="C63" s="8" t="inlineStr">
        <is>
          <t>Sales Marketing Management (Ram Ratna Wires Limited)</t>
        </is>
      </c>
      <c r="D63" s="9" t="inlineStr">
        <is>
          <t>Jigar Vaghela</t>
        </is>
      </c>
      <c r="E63" s="9" t="inlineStr">
        <is>
          <t>Ram Ratna Wires Limited</t>
        </is>
      </c>
      <c r="F63" s="7" t="inlineStr">
        <is>
          <t>Mumbai, India</t>
        </is>
      </c>
    </row>
    <row r="65" ht="28" customHeight="1">
      <c r="A65" s="4" t="inlineStr">
        <is>
          <t xml:space="preserve">  ▸ Rane Holdings Limited  (10 contacts)</t>
        </is>
      </c>
      <c r="B65" s="5" t="n"/>
      <c r="C65" s="5" t="n"/>
      <c r="D65" s="5" t="n"/>
      <c r="E65" s="5" t="n"/>
      <c r="F65" s="5" t="n"/>
    </row>
    <row r="66" hidden="1" outlineLevel="1">
      <c r="A66" s="6" t="inlineStr">
        <is>
          <t>#</t>
        </is>
      </c>
      <c r="B66" s="6" t="inlineStr">
        <is>
          <t>Name</t>
        </is>
      </c>
      <c r="C66" s="6" t="inlineStr">
        <is>
          <t>Position</t>
        </is>
      </c>
      <c r="D66" s="6" t="inlineStr">
        <is>
          <t>LinkedIn (Person)</t>
        </is>
      </c>
      <c r="E66" s="6" t="inlineStr">
        <is>
          <t>Company LinkedIn</t>
        </is>
      </c>
      <c r="F66" s="6" t="inlineStr">
        <is>
          <t>Location</t>
        </is>
      </c>
    </row>
    <row r="67" hidden="1" outlineLevel="1">
      <c r="A67" s="7" t="n">
        <v>1</v>
      </c>
      <c r="B67" s="8" t="inlineStr">
        <is>
          <t>Rajesh Raghavan</t>
        </is>
      </c>
      <c r="C67" s="8" t="inlineStr">
        <is>
          <t>President - Corporate, Rane Holdings Ltd</t>
        </is>
      </c>
      <c r="D67" s="9" t="inlineStr">
        <is>
          <t>Rajesh Raghavan</t>
        </is>
      </c>
      <c r="E67" s="9" t="inlineStr">
        <is>
          <t>Rane Holdings Limited</t>
        </is>
      </c>
      <c r="F67" s="7" t="inlineStr">
        <is>
          <t>Chennai, India</t>
        </is>
      </c>
    </row>
    <row r="68" hidden="1" outlineLevel="1">
      <c r="A68" s="10" t="n">
        <v>2</v>
      </c>
      <c r="B68" s="11" t="inlineStr">
        <is>
          <t>Harish Lakshman</t>
        </is>
      </c>
      <c r="C68" s="11" t="inlineStr">
        <is>
          <t>Vice-Chairman &amp; Joint Managing Director, Rane Group</t>
        </is>
      </c>
      <c r="D68" s="12" t="inlineStr">
        <is>
          <t>Harish Lakshman</t>
        </is>
      </c>
      <c r="E68" s="12" t="inlineStr">
        <is>
          <t>Rane Holdings Limited</t>
        </is>
      </c>
      <c r="F68" s="10" t="inlineStr">
        <is>
          <t>Chennai, India</t>
        </is>
      </c>
    </row>
    <row r="69" hidden="1" outlineLevel="1">
      <c r="A69" s="7" t="n">
        <v>3</v>
      </c>
      <c r="B69" s="8" t="inlineStr">
        <is>
          <t>Ramasubramanian Venkatraman</t>
        </is>
      </c>
      <c r="C69" s="8" t="inlineStr">
        <is>
          <t>SVP - HR, Rane Group</t>
        </is>
      </c>
      <c r="D69" s="9" t="inlineStr">
        <is>
          <t>Ramasubramanian Venkatraman</t>
        </is>
      </c>
      <c r="E69" s="9" t="inlineStr">
        <is>
          <t>Rane Holdings Limited</t>
        </is>
      </c>
      <c r="F69" s="7" t="inlineStr">
        <is>
          <t>Chennai, India</t>
        </is>
      </c>
    </row>
    <row r="70" hidden="1" outlineLevel="1">
      <c r="A70" s="10" t="n">
        <v>4</v>
      </c>
      <c r="B70" s="11" t="inlineStr">
        <is>
          <t>Dr. P.A. Padmanabhan</t>
        </is>
      </c>
      <c r="C70" s="11" t="inlineStr">
        <is>
          <t>President - Finance &amp; Group CFO, Rane Group</t>
        </is>
      </c>
      <c r="D70" s="12" t="inlineStr">
        <is>
          <t>Dr. P.A. Padmanabhan</t>
        </is>
      </c>
      <c r="E70" s="12" t="inlineStr">
        <is>
          <t>Rane Holdings Limited</t>
        </is>
      </c>
      <c r="F70" s="10" t="inlineStr">
        <is>
          <t>Chennai, India</t>
        </is>
      </c>
    </row>
    <row r="71" hidden="1" outlineLevel="1">
      <c r="A71" s="7" t="n">
        <v>5</v>
      </c>
      <c r="B71" s="8" t="inlineStr">
        <is>
          <t>Muralidharan K Dharan</t>
        </is>
      </c>
      <c r="C71" s="8" t="inlineStr">
        <is>
          <t>General Manager - Marketing, Rane Holdings Limited</t>
        </is>
      </c>
      <c r="D71" s="9" t="inlineStr">
        <is>
          <t>Muralidharan K Dharan</t>
        </is>
      </c>
      <c r="E71" s="9" t="inlineStr">
        <is>
          <t>Rane Holdings Limited</t>
        </is>
      </c>
      <c r="F71" s="7" t="inlineStr">
        <is>
          <t>Chennai, India</t>
        </is>
      </c>
    </row>
    <row r="72" hidden="1" outlineLevel="1">
      <c r="A72" s="10" t="n">
        <v>6</v>
      </c>
      <c r="B72" s="11" t="inlineStr">
        <is>
          <t>Ramdas Govindankutty</t>
        </is>
      </c>
      <c r="C72" s="11" t="inlineStr">
        <is>
          <t>General Manager, Rane Holdings America Inc.</t>
        </is>
      </c>
      <c r="D72" s="12" t="inlineStr">
        <is>
          <t>Ramdas Govindankutty</t>
        </is>
      </c>
      <c r="E72" s="12" t="inlineStr">
        <is>
          <t>Rane Holdings Limited</t>
        </is>
      </c>
      <c r="F72" s="10" t="inlineStr">
        <is>
          <t>Chennai, India</t>
        </is>
      </c>
    </row>
    <row r="73" hidden="1" outlineLevel="1">
      <c r="A73" s="7" t="n">
        <v>7</v>
      </c>
      <c r="B73" s="8" t="inlineStr">
        <is>
          <t>S Rajendra Kumar</t>
        </is>
      </c>
      <c r="C73" s="8" t="inlineStr">
        <is>
          <t>General Manager - TQM, Rane Holdings Limited</t>
        </is>
      </c>
      <c r="D73" s="9" t="inlineStr">
        <is>
          <t>S Rajendra Kumar</t>
        </is>
      </c>
      <c r="E73" s="9" t="inlineStr">
        <is>
          <t>Rane Holdings Limited</t>
        </is>
      </c>
      <c r="F73" s="7" t="inlineStr">
        <is>
          <t>Chennai, India</t>
        </is>
      </c>
    </row>
    <row r="74" hidden="1" outlineLevel="1">
      <c r="A74" s="10" t="n">
        <v>8</v>
      </c>
      <c r="B74" s="11" t="inlineStr">
        <is>
          <t>Santhanam Guruprasad</t>
        </is>
      </c>
      <c r="C74" s="11" t="inlineStr">
        <is>
          <t>Head - Procurement, Rane Holdings Limited</t>
        </is>
      </c>
      <c r="D74" s="12" t="inlineStr">
        <is>
          <t>Santhanam Guruprasad</t>
        </is>
      </c>
      <c r="E74" s="12" t="inlineStr">
        <is>
          <t>Rane Holdings Limited</t>
        </is>
      </c>
      <c r="F74" s="10" t="inlineStr">
        <is>
          <t>Chennai, India</t>
        </is>
      </c>
    </row>
    <row r="75" hidden="1" outlineLevel="1">
      <c r="A75" s="7" t="n">
        <v>9</v>
      </c>
      <c r="B75" s="8" t="inlineStr">
        <is>
          <t>Varadharajan S</t>
        </is>
      </c>
      <c r="C75" s="8" t="inlineStr">
        <is>
          <t>Executive Vice President, Rane Group</t>
        </is>
      </c>
      <c r="D75" s="9" t="inlineStr">
        <is>
          <t>Varadharajan S</t>
        </is>
      </c>
      <c r="E75" s="9" t="inlineStr">
        <is>
          <t>Rane Holdings Limited</t>
        </is>
      </c>
      <c r="F75" s="7" t="inlineStr">
        <is>
          <t>Chennai, India</t>
        </is>
      </c>
    </row>
    <row r="76" hidden="1" outlineLevel="1">
      <c r="A76" s="10" t="n">
        <v>10</v>
      </c>
      <c r="B76" s="11" t="inlineStr">
        <is>
          <t>Sridhar Subramanian</t>
        </is>
      </c>
      <c r="C76" s="11" t="inlineStr">
        <is>
          <t>Vice President, Rane Group</t>
        </is>
      </c>
      <c r="D76" s="12" t="inlineStr">
        <is>
          <t>Sridhar Subramanian</t>
        </is>
      </c>
      <c r="E76" s="12" t="inlineStr">
        <is>
          <t>Rane Holdings Limited</t>
        </is>
      </c>
      <c r="F76" s="10" t="inlineStr">
        <is>
          <t>Chennai, India</t>
        </is>
      </c>
    </row>
    <row r="78" ht="28" customHeight="1">
      <c r="A78" s="4" t="inlineStr">
        <is>
          <t xml:space="preserve">  ▸ Century Plyboards (India) Limited  (15 contacts)</t>
        </is>
      </c>
      <c r="B78" s="5" t="n"/>
      <c r="C78" s="5" t="n"/>
      <c r="D78" s="5" t="n"/>
      <c r="E78" s="5" t="n"/>
      <c r="F78" s="5" t="n"/>
    </row>
    <row r="79" hidden="1" outlineLevel="1">
      <c r="A79" s="6" t="inlineStr">
        <is>
          <t>#</t>
        </is>
      </c>
      <c r="B79" s="6" t="inlineStr">
        <is>
          <t>Name</t>
        </is>
      </c>
      <c r="C79" s="6" t="inlineStr">
        <is>
          <t>Position</t>
        </is>
      </c>
      <c r="D79" s="6" t="inlineStr">
        <is>
          <t>LinkedIn (Person)</t>
        </is>
      </c>
      <c r="E79" s="6" t="inlineStr">
        <is>
          <t>Company LinkedIn</t>
        </is>
      </c>
      <c r="F79" s="6" t="inlineStr">
        <is>
          <t>Location</t>
        </is>
      </c>
    </row>
    <row r="80" hidden="1" outlineLevel="1">
      <c r="A80" s="7" t="n">
        <v>1</v>
      </c>
      <c r="B80" s="8" t="inlineStr">
        <is>
          <t>Sanjay Agarwal</t>
        </is>
      </c>
      <c r="C80" s="8" t="inlineStr">
        <is>
          <t>Managing Director (MD)</t>
        </is>
      </c>
      <c r="D80" s="9" t="inlineStr">
        <is>
          <t>Sanjay Agarwal</t>
        </is>
      </c>
      <c r="E80" s="9" t="inlineStr">
        <is>
          <t>Century Plyboards (India) Limited</t>
        </is>
      </c>
      <c r="F80" s="7" t="inlineStr">
        <is>
          <t>Kolkata, India</t>
        </is>
      </c>
    </row>
    <row r="81" hidden="1" outlineLevel="1">
      <c r="A81" s="10" t="n">
        <v>2</v>
      </c>
      <c r="B81" s="11" t="inlineStr">
        <is>
          <t>Prem Kumar</t>
        </is>
      </c>
      <c r="C81" s="11" t="inlineStr">
        <is>
          <t>Joint Managing Director</t>
        </is>
      </c>
      <c r="D81" s="12" t="inlineStr">
        <is>
          <t>Prem Kumar</t>
        </is>
      </c>
      <c r="E81" s="12" t="inlineStr">
        <is>
          <t>Century Plyboards (India) Limited</t>
        </is>
      </c>
      <c r="F81" s="10" t="inlineStr">
        <is>
          <t>Kolkata, India</t>
        </is>
      </c>
    </row>
    <row r="82" hidden="1" outlineLevel="1">
      <c r="A82" s="7" t="n">
        <v>3</v>
      </c>
      <c r="B82" s="8" t="inlineStr">
        <is>
          <t>Dr. Sandip Pradhan</t>
        </is>
      </c>
      <c r="C82" s="8" t="inlineStr">
        <is>
          <t>CDIO / CIO (Chief Digital/Information Officer)</t>
        </is>
      </c>
      <c r="D82" s="9" t="inlineStr">
        <is>
          <t>Dr. Sandip Pradhan</t>
        </is>
      </c>
      <c r="E82" s="9" t="inlineStr">
        <is>
          <t>Century Plyboards (India) Limited</t>
        </is>
      </c>
      <c r="F82" s="7" t="inlineStr">
        <is>
          <t>Kolkata, India</t>
        </is>
      </c>
    </row>
    <row r="83" hidden="1" outlineLevel="1">
      <c r="A83" s="10" t="n">
        <v>4</v>
      </c>
      <c r="B83" s="11" t="inlineStr">
        <is>
          <t>Ashutosh Jaiswal</t>
        </is>
      </c>
      <c r="C83" s="11" t="inlineStr">
        <is>
          <t>President - International Business &amp; Logistics</t>
        </is>
      </c>
      <c r="D83" s="12" t="inlineStr">
        <is>
          <t>Ashutosh Jaiswal</t>
        </is>
      </c>
      <c r="E83" s="12" t="inlineStr">
        <is>
          <t>Century Plyboards (India) Limited</t>
        </is>
      </c>
      <c r="F83" s="10" t="inlineStr">
        <is>
          <t>Kolkata, India</t>
        </is>
      </c>
    </row>
    <row r="84" hidden="1" outlineLevel="1">
      <c r="A84" s="7" t="n">
        <v>5</v>
      </c>
      <c r="B84" s="8" t="inlineStr">
        <is>
          <t>Arnab Basu</t>
        </is>
      </c>
      <c r="C84" s="8" t="inlineStr">
        <is>
          <t>Head of Distribution</t>
        </is>
      </c>
      <c r="D84" s="9" t="inlineStr">
        <is>
          <t>Arnab Basu</t>
        </is>
      </c>
      <c r="E84" s="9" t="inlineStr">
        <is>
          <t>Century Plyboards (India) Limited</t>
        </is>
      </c>
      <c r="F84" s="7" t="inlineStr">
        <is>
          <t>Kolkata, India</t>
        </is>
      </c>
    </row>
    <row r="85" hidden="1" outlineLevel="1">
      <c r="A85" s="10" t="n">
        <v>6</v>
      </c>
      <c r="B85" s="11" t="inlineStr">
        <is>
          <t>Ravinder Kumar</t>
        </is>
      </c>
      <c r="C85" s="11" t="inlineStr">
        <is>
          <t>General Manager - West &amp; Central India Sales</t>
        </is>
      </c>
      <c r="D85" s="12" t="inlineStr">
        <is>
          <t>Ravinder Kumar</t>
        </is>
      </c>
      <c r="E85" s="12" t="inlineStr">
        <is>
          <t>Century Plyboards (India) Limited</t>
        </is>
      </c>
      <c r="F85" s="10" t="inlineStr">
        <is>
          <t>Kolkata, India</t>
        </is>
      </c>
    </row>
    <row r="86" hidden="1" outlineLevel="1">
      <c r="A86" s="7" t="n">
        <v>7</v>
      </c>
      <c r="B86" s="8" t="inlineStr">
        <is>
          <t>Naveen Lohia</t>
        </is>
      </c>
      <c r="C86" s="8" t="inlineStr">
        <is>
          <t>Vice President - Exports</t>
        </is>
      </c>
      <c r="D86" s="9" t="inlineStr">
        <is>
          <t>Naveen Lohia</t>
        </is>
      </c>
      <c r="E86" s="9" t="inlineStr">
        <is>
          <t>Century Plyboards (India) Limited</t>
        </is>
      </c>
      <c r="F86" s="7" t="inlineStr">
        <is>
          <t>Kolkata, India</t>
        </is>
      </c>
    </row>
    <row r="87" hidden="1" outlineLevel="1">
      <c r="A87" s="10" t="n">
        <v>8</v>
      </c>
      <c r="B87" s="11" t="inlineStr">
        <is>
          <t>Pradeep Kumar Verma</t>
        </is>
      </c>
      <c r="C87" s="11" t="inlineStr">
        <is>
          <t>Vice President</t>
        </is>
      </c>
      <c r="D87" s="12" t="inlineStr">
        <is>
          <t>Pradeep Kumar Verma</t>
        </is>
      </c>
      <c r="E87" s="12" t="inlineStr">
        <is>
          <t>Century Plyboards (India) Limited</t>
        </is>
      </c>
      <c r="F87" s="10" t="inlineStr">
        <is>
          <t>Kolkata, India</t>
        </is>
      </c>
    </row>
    <row r="88" hidden="1" outlineLevel="1">
      <c r="A88" s="7" t="n">
        <v>9</v>
      </c>
      <c r="B88" s="8" t="inlineStr">
        <is>
          <t>Mitash Chatterjee</t>
        </is>
      </c>
      <c r="C88" s="8" t="inlineStr">
        <is>
          <t>Chief Marketing Officer (CMO)</t>
        </is>
      </c>
      <c r="D88" s="9" t="inlineStr">
        <is>
          <t>Mitash Chatterjee</t>
        </is>
      </c>
      <c r="E88" s="9" t="inlineStr">
        <is>
          <t>Century Plyboards (India) Limited</t>
        </is>
      </c>
      <c r="F88" s="7" t="inlineStr">
        <is>
          <t>Kolkata, India</t>
        </is>
      </c>
    </row>
    <row r="89" hidden="1" outlineLevel="1">
      <c r="A89" s="10" t="n">
        <v>10</v>
      </c>
      <c r="B89" s="11" t="inlineStr">
        <is>
          <t>Suraj Patra</t>
        </is>
      </c>
      <c r="C89" s="11" t="inlineStr">
        <is>
          <t>Vice President &amp; Business Head</t>
        </is>
      </c>
      <c r="D89" s="12" t="inlineStr">
        <is>
          <t>Suraj Patra</t>
        </is>
      </c>
      <c r="E89" s="12" t="inlineStr">
        <is>
          <t>Century Plyboards (India) Limited</t>
        </is>
      </c>
      <c r="F89" s="10" t="inlineStr">
        <is>
          <t>Kolkata, India</t>
        </is>
      </c>
    </row>
    <row r="90" hidden="1" outlineLevel="1">
      <c r="A90" s="7" t="n">
        <v>11</v>
      </c>
      <c r="B90" s="8" t="inlineStr">
        <is>
          <t>Navarun Sen</t>
        </is>
      </c>
      <c r="C90" s="8" t="inlineStr">
        <is>
          <t>Chief Operating Officer - Panel</t>
        </is>
      </c>
      <c r="D90" s="9" t="inlineStr">
        <is>
          <t>Navarun Sen</t>
        </is>
      </c>
      <c r="E90" s="9" t="inlineStr">
        <is>
          <t>Century Plyboards (India) Limited</t>
        </is>
      </c>
      <c r="F90" s="7" t="inlineStr">
        <is>
          <t>Kolkata, India</t>
        </is>
      </c>
    </row>
    <row r="91" hidden="1" outlineLevel="1">
      <c r="A91" s="10" t="n">
        <v>12</v>
      </c>
      <c r="B91" s="11" t="inlineStr">
        <is>
          <t>Vishu Goel</t>
        </is>
      </c>
      <c r="C91" s="11" t="inlineStr">
        <is>
          <t>Associate Vice President - Sales, Marketing &amp; Commercial</t>
        </is>
      </c>
      <c r="D91" s="12" t="inlineStr">
        <is>
          <t>Vishu Goel</t>
        </is>
      </c>
      <c r="E91" s="12" t="inlineStr">
        <is>
          <t>Century Plyboards (India) Limited</t>
        </is>
      </c>
      <c r="F91" s="10" t="inlineStr">
        <is>
          <t>Kolkata, India</t>
        </is>
      </c>
    </row>
    <row r="92" hidden="1" outlineLevel="1">
      <c r="A92" s="7" t="n">
        <v>13</v>
      </c>
      <c r="B92" s="8" t="inlineStr">
        <is>
          <t>Avtar Singh Bhullar</t>
        </is>
      </c>
      <c r="C92" s="8" t="inlineStr">
        <is>
          <t>Chief Sales &amp; Marketing - MDF &amp; Particle Board Division (Senior Vice President)</t>
        </is>
      </c>
      <c r="D92" s="9" t="inlineStr">
        <is>
          <t>Avtar Singh Bhullar</t>
        </is>
      </c>
      <c r="E92" s="9" t="inlineStr">
        <is>
          <t>Century Plyboards (India) Limited</t>
        </is>
      </c>
      <c r="F92" s="7" t="inlineStr">
        <is>
          <t>Kolkata, India</t>
        </is>
      </c>
    </row>
    <row r="93" hidden="1" outlineLevel="1">
      <c r="A93" s="10" t="n">
        <v>14</v>
      </c>
      <c r="B93" s="11" t="inlineStr">
        <is>
          <t>Abhijit Mukherjee</t>
        </is>
      </c>
      <c r="C93" s="11" t="inlineStr">
        <is>
          <t>Head - Marketing</t>
        </is>
      </c>
      <c r="D93" s="12" t="inlineStr">
        <is>
          <t>Abhijit Mukherjee</t>
        </is>
      </c>
      <c r="E93" s="12" t="inlineStr">
        <is>
          <t>Century Plyboards (India) Limited</t>
        </is>
      </c>
      <c r="F93" s="10" t="inlineStr">
        <is>
          <t>Kolkata, India</t>
        </is>
      </c>
    </row>
    <row r="94" hidden="1" outlineLevel="1">
      <c r="A94" s="7" t="n">
        <v>15</v>
      </c>
      <c r="B94" s="8" t="inlineStr">
        <is>
          <t>Ritobroto Sengupta</t>
        </is>
      </c>
      <c r="C94" s="8" t="inlineStr">
        <is>
          <t>GM - Head Marketing / Senior Marketing Leader</t>
        </is>
      </c>
      <c r="D94" s="9" t="inlineStr">
        <is>
          <t>Ritobroto Sengupta</t>
        </is>
      </c>
      <c r="E94" s="9" t="inlineStr">
        <is>
          <t>Century Plyboards (India) Limited</t>
        </is>
      </c>
      <c r="F94" s="7" t="inlineStr">
        <is>
          <t>Kolkata, India</t>
        </is>
      </c>
    </row>
    <row r="96" ht="28" customHeight="1">
      <c r="A96" s="4" t="inlineStr">
        <is>
          <t xml:space="preserve">  ▸ Wheels India Limited  (8 contacts)</t>
        </is>
      </c>
      <c r="B96" s="5" t="n"/>
      <c r="C96" s="5" t="n"/>
      <c r="D96" s="5" t="n"/>
      <c r="E96" s="5" t="n"/>
      <c r="F96" s="5" t="n"/>
    </row>
    <row r="97" hidden="1" outlineLevel="1">
      <c r="A97" s="6" t="inlineStr">
        <is>
          <t>#</t>
        </is>
      </c>
      <c r="B97" s="6" t="inlineStr">
        <is>
          <t>Name</t>
        </is>
      </c>
      <c r="C97" s="6" t="inlineStr">
        <is>
          <t>Position</t>
        </is>
      </c>
      <c r="D97" s="6" t="inlineStr">
        <is>
          <t>LinkedIn (Person)</t>
        </is>
      </c>
      <c r="E97" s="6" t="inlineStr">
        <is>
          <t>Company LinkedIn</t>
        </is>
      </c>
      <c r="F97" s="6" t="inlineStr">
        <is>
          <t>Location</t>
        </is>
      </c>
    </row>
    <row r="98" hidden="1" outlineLevel="1">
      <c r="A98" s="7" t="n">
        <v>1</v>
      </c>
      <c r="B98" s="8" t="inlineStr">
        <is>
          <t>Srivats Ram</t>
        </is>
      </c>
      <c r="C98" s="8" t="inlineStr">
        <is>
          <t>Chairman &amp; Managing Director</t>
        </is>
      </c>
      <c r="D98" s="9" t="inlineStr">
        <is>
          <t>Srivats Ram</t>
        </is>
      </c>
      <c r="E98" s="9" t="inlineStr">
        <is>
          <t>Wheels India Limited</t>
        </is>
      </c>
      <c r="F98" s="7" t="inlineStr">
        <is>
          <t>Chennai, India</t>
        </is>
      </c>
    </row>
    <row r="99" hidden="1" outlineLevel="1">
      <c r="A99" s="10" t="n">
        <v>2</v>
      </c>
      <c r="B99" s="11" t="inlineStr">
        <is>
          <t>Natarajan Ponnusamy</t>
        </is>
      </c>
      <c r="C99" s="11" t="inlineStr">
        <is>
          <t>Vice President, Wheels India Limited</t>
        </is>
      </c>
      <c r="D99" s="12" t="inlineStr">
        <is>
          <t>Natarajan Ponnusamy</t>
        </is>
      </c>
      <c r="E99" s="12" t="inlineStr">
        <is>
          <t>Wheels India Limited</t>
        </is>
      </c>
      <c r="F99" s="10" t="inlineStr">
        <is>
          <t>Chennai, India</t>
        </is>
      </c>
    </row>
    <row r="100" hidden="1" outlineLevel="1">
      <c r="A100" s="7" t="n">
        <v>3</v>
      </c>
      <c r="B100" s="8" t="inlineStr">
        <is>
          <t>Venkatesan Govindan</t>
        </is>
      </c>
      <c r="C100" s="8" t="inlineStr">
        <is>
          <t>Head of Production, Wheels India Limited</t>
        </is>
      </c>
      <c r="D100" s="9" t="inlineStr">
        <is>
          <t>Venkatesan Govindan</t>
        </is>
      </c>
      <c r="E100" s="9" t="inlineStr">
        <is>
          <t>Wheels India Limited</t>
        </is>
      </c>
      <c r="F100" s="7" t="inlineStr">
        <is>
          <t>Chennai, India</t>
        </is>
      </c>
    </row>
    <row r="101" hidden="1" outlineLevel="1">
      <c r="A101" s="10" t="n">
        <v>4</v>
      </c>
      <c r="B101" s="11" t="inlineStr">
        <is>
          <t>Muralidharan T S</t>
        </is>
      </c>
      <c r="C101" s="11" t="inlineStr">
        <is>
          <t>Head of Sales, Wheels India Limited</t>
        </is>
      </c>
      <c r="D101" s="12" t="inlineStr">
        <is>
          <t>Muralidharan T S</t>
        </is>
      </c>
      <c r="E101" s="12" t="inlineStr">
        <is>
          <t>Wheels India Limited</t>
        </is>
      </c>
      <c r="F101" s="10" t="inlineStr">
        <is>
          <t>Chennai, India</t>
        </is>
      </c>
    </row>
    <row r="102" hidden="1" outlineLevel="1">
      <c r="A102" s="7" t="n">
        <v>5</v>
      </c>
      <c r="B102" s="8" t="inlineStr">
        <is>
          <t>Venkatesan Ramamoorthy</t>
        </is>
      </c>
      <c r="C102" s="8" t="inlineStr">
        <is>
          <t>Head - IT, Wheels India Limited</t>
        </is>
      </c>
      <c r="D102" s="9" t="inlineStr">
        <is>
          <t>Venkatesan Ramamoorthy</t>
        </is>
      </c>
      <c r="E102" s="9" t="inlineStr">
        <is>
          <t>Wheels India Limited</t>
        </is>
      </c>
      <c r="F102" s="7" t="inlineStr">
        <is>
          <t>Chennai, India</t>
        </is>
      </c>
    </row>
    <row r="103" hidden="1" outlineLevel="1">
      <c r="A103" s="10" t="n">
        <v>6</v>
      </c>
      <c r="B103" s="11" t="inlineStr">
        <is>
          <t>Mohan Kumar Muthusamy</t>
        </is>
      </c>
      <c r="C103" s="11" t="inlineStr">
        <is>
          <t>General Manager, Wheels India Limited</t>
        </is>
      </c>
      <c r="D103" s="12" t="inlineStr">
        <is>
          <t>Mohan Kumar Muthusamy</t>
        </is>
      </c>
      <c r="E103" s="12" t="inlineStr">
        <is>
          <t>Wheels India Limited</t>
        </is>
      </c>
      <c r="F103" s="10" t="inlineStr">
        <is>
          <t>Chennai, India</t>
        </is>
      </c>
    </row>
    <row r="104" hidden="1" outlineLevel="1">
      <c r="A104" s="7" t="n">
        <v>7</v>
      </c>
      <c r="B104" s="8" t="inlineStr">
        <is>
          <t>Venkatasami Babu</t>
        </is>
      </c>
      <c r="C104" s="8" t="inlineStr">
        <is>
          <t>Vice President - Human Resources, Wheels India Limited</t>
        </is>
      </c>
      <c r="D104" s="9" t="inlineStr">
        <is>
          <t>Venkatasami Babu</t>
        </is>
      </c>
      <c r="E104" s="9" t="inlineStr">
        <is>
          <t>Wheels India Limited</t>
        </is>
      </c>
      <c r="F104" s="7" t="inlineStr">
        <is>
          <t>Chennai, India</t>
        </is>
      </c>
    </row>
    <row r="105" hidden="1" outlineLevel="1">
      <c r="A105" s="10" t="n">
        <v>8</v>
      </c>
      <c r="B105" s="11" t="inlineStr">
        <is>
          <t>Raju P Krishnan</t>
        </is>
      </c>
      <c r="C105" s="11" t="inlineStr">
        <is>
          <t>Director (Wheel India SCM Solutions / related entity)</t>
        </is>
      </c>
      <c r="D105" s="12" t="inlineStr">
        <is>
          <t>Raju P Krishnan</t>
        </is>
      </c>
      <c r="E105" s="12" t="inlineStr">
        <is>
          <t>Wheels India Limited</t>
        </is>
      </c>
      <c r="F105" s="10" t="inlineStr">
        <is>
          <t>Chennai, India</t>
        </is>
      </c>
    </row>
    <row r="107" ht="28" customHeight="1">
      <c r="A107" s="4" t="inlineStr">
        <is>
          <t xml:space="preserve">  ▸ Steel Strips Wheels Limited  (8 contacts)</t>
        </is>
      </c>
      <c r="B107" s="5" t="n"/>
      <c r="C107" s="5" t="n"/>
      <c r="D107" s="5" t="n"/>
      <c r="E107" s="5" t="n"/>
      <c r="F107" s="5" t="n"/>
    </row>
    <row r="108" hidden="1" outlineLevel="1">
      <c r="A108" s="6" t="inlineStr">
        <is>
          <t>#</t>
        </is>
      </c>
      <c r="B108" s="6" t="inlineStr">
        <is>
          <t>Name</t>
        </is>
      </c>
      <c r="C108" s="6" t="inlineStr">
        <is>
          <t>Position</t>
        </is>
      </c>
      <c r="D108" s="6" t="inlineStr">
        <is>
          <t>LinkedIn (Person)</t>
        </is>
      </c>
      <c r="E108" s="6" t="inlineStr">
        <is>
          <t>Company LinkedIn</t>
        </is>
      </c>
      <c r="F108" s="6" t="inlineStr">
        <is>
          <t>Location</t>
        </is>
      </c>
    </row>
    <row r="109" hidden="1" outlineLevel="1">
      <c r="A109" s="7" t="n">
        <v>1</v>
      </c>
      <c r="B109" s="8" t="inlineStr">
        <is>
          <t>Mohan Joshi</t>
        </is>
      </c>
      <c r="C109" s="8" t="inlineStr">
        <is>
          <t>Deputy Managing Director</t>
        </is>
      </c>
      <c r="D109" s="9" t="inlineStr">
        <is>
          <t>Mohan Joshi</t>
        </is>
      </c>
      <c r="E109" s="9" t="inlineStr">
        <is>
          <t>Steel Strips Wheels Limited</t>
        </is>
      </c>
      <c r="F109" s="7" t="inlineStr">
        <is>
          <t>Chandigarh, India</t>
        </is>
      </c>
    </row>
    <row r="110" hidden="1" outlineLevel="1">
      <c r="A110" s="10" t="n">
        <v>2</v>
      </c>
      <c r="B110" s="11" t="inlineStr">
        <is>
          <t>Aditya Dixit</t>
        </is>
      </c>
      <c r="C110" s="11" t="inlineStr">
        <is>
          <t>Executive Director, International Marketing &amp; Operations</t>
        </is>
      </c>
      <c r="D110" s="12" t="inlineStr">
        <is>
          <t>Aditya Dixit</t>
        </is>
      </c>
      <c r="E110" s="12" t="inlineStr">
        <is>
          <t>Steel Strips Wheels Limited</t>
        </is>
      </c>
      <c r="F110" s="10" t="inlineStr">
        <is>
          <t>Chandigarh, India</t>
        </is>
      </c>
    </row>
    <row r="111" hidden="1" outlineLevel="1">
      <c r="A111" s="7" t="n">
        <v>3</v>
      </c>
      <c r="B111" s="8" t="inlineStr">
        <is>
          <t>Rajesh Trikha</t>
        </is>
      </c>
      <c r="C111" s="8" t="inlineStr">
        <is>
          <t>Senior Executive Director</t>
        </is>
      </c>
      <c r="D111" s="9" t="inlineStr">
        <is>
          <t>Rajesh Trikha</t>
        </is>
      </c>
      <c r="E111" s="9" t="inlineStr">
        <is>
          <t>Steel Strips Wheels Limited</t>
        </is>
      </c>
      <c r="F111" s="7" t="inlineStr">
        <is>
          <t>Chandigarh, India</t>
        </is>
      </c>
    </row>
    <row r="112" hidden="1" outlineLevel="1">
      <c r="A112" s="10" t="n">
        <v>4</v>
      </c>
      <c r="B112" s="11" t="inlineStr">
        <is>
          <t>Sushil Gupta</t>
        </is>
      </c>
      <c r="C112" s="11" t="inlineStr">
        <is>
          <t>Senior Executive Director</t>
        </is>
      </c>
      <c r="D112" s="12" t="inlineStr">
        <is>
          <t>Sushil Gupta</t>
        </is>
      </c>
      <c r="E112" s="12" t="inlineStr">
        <is>
          <t>Steel Strips Wheels Limited</t>
        </is>
      </c>
      <c r="F112" s="10" t="inlineStr">
        <is>
          <t>Chandigarh, India</t>
        </is>
      </c>
    </row>
    <row r="113" hidden="1" outlineLevel="1">
      <c r="A113" s="7" t="n">
        <v>5</v>
      </c>
      <c r="B113" s="8" t="inlineStr">
        <is>
          <t>Sanjeev Singh Raghuvanshi</t>
        </is>
      </c>
      <c r="C113" s="8" t="inlineStr">
        <is>
          <t>Executive Director - Corporate</t>
        </is>
      </c>
      <c r="D113" s="9" t="inlineStr">
        <is>
          <t>Sanjeev Singh Raghuvanshi</t>
        </is>
      </c>
      <c r="E113" s="9" t="inlineStr">
        <is>
          <t>Steel Strips Wheels Limited</t>
        </is>
      </c>
      <c r="F113" s="7" t="inlineStr">
        <is>
          <t>Chandigarh, India</t>
        </is>
      </c>
    </row>
    <row r="114" hidden="1" outlineLevel="1">
      <c r="A114" s="10" t="n">
        <v>6</v>
      </c>
      <c r="B114" s="11" t="inlineStr">
        <is>
          <t>Jatinder Singh</t>
        </is>
      </c>
      <c r="C114" s="11" t="inlineStr">
        <is>
          <t>President, Operations Excellence</t>
        </is>
      </c>
      <c r="D114" s="12" t="inlineStr">
        <is>
          <t>Jatinder Singh</t>
        </is>
      </c>
      <c r="E114" s="12" t="inlineStr">
        <is>
          <t>Steel Strips Wheels Limited</t>
        </is>
      </c>
      <c r="F114" s="10" t="inlineStr">
        <is>
          <t>Chandigarh, India</t>
        </is>
      </c>
    </row>
    <row r="115" hidden="1" outlineLevel="1">
      <c r="A115" s="7" t="n">
        <v>7</v>
      </c>
      <c r="B115" s="8" t="inlineStr">
        <is>
          <t>Udaya Kumar</t>
        </is>
      </c>
      <c r="C115" s="8" t="inlineStr">
        <is>
          <t>Vice President - Production</t>
        </is>
      </c>
      <c r="D115" s="9" t="inlineStr">
        <is>
          <t>Udaya Kumar</t>
        </is>
      </c>
      <c r="E115" s="9" t="inlineStr">
        <is>
          <t>Steel Strips Wheels Limited</t>
        </is>
      </c>
      <c r="F115" s="7" t="inlineStr">
        <is>
          <t>Chandigarh, India</t>
        </is>
      </c>
    </row>
    <row r="116" hidden="1" outlineLevel="1">
      <c r="A116" s="10" t="n">
        <v>8</v>
      </c>
      <c r="B116" s="11" t="inlineStr">
        <is>
          <t>Sandeep Sharma</t>
        </is>
      </c>
      <c r="C116" s="11" t="inlineStr">
        <is>
          <t>Senior Executive Director</t>
        </is>
      </c>
      <c r="D116" s="12" t="inlineStr">
        <is>
          <t>Sandeep Sharma</t>
        </is>
      </c>
      <c r="E116" s="12" t="inlineStr">
        <is>
          <t>Steel Strips Wheels Limited</t>
        </is>
      </c>
      <c r="F116" s="10" t="inlineStr">
        <is>
          <t>Chandigarh, India</t>
        </is>
      </c>
    </row>
  </sheetData>
  <mergeCells count="10">
    <mergeCell ref="A107:F107"/>
    <mergeCell ref="A47:F47"/>
    <mergeCell ref="A1:F1"/>
    <mergeCell ref="A9:F9"/>
    <mergeCell ref="A34:F34"/>
    <mergeCell ref="A96:F96"/>
    <mergeCell ref="A78:F78"/>
    <mergeCell ref="A21:F21"/>
    <mergeCell ref="A55:F55"/>
    <mergeCell ref="A65:F65"/>
  </mergeCells>
  <hyperlinks>
    <hyperlink xmlns:r="http://schemas.openxmlformats.org/officeDocument/2006/relationships" ref="D3" r:id="rId1"/>
    <hyperlink xmlns:r="http://schemas.openxmlformats.org/officeDocument/2006/relationships" ref="E3" r:id="rId2"/>
    <hyperlink xmlns:r="http://schemas.openxmlformats.org/officeDocument/2006/relationships" ref="D4" r:id="rId3"/>
    <hyperlink xmlns:r="http://schemas.openxmlformats.org/officeDocument/2006/relationships" ref="E4" r:id="rId4"/>
    <hyperlink xmlns:r="http://schemas.openxmlformats.org/officeDocument/2006/relationships" ref="D5" r:id="rId5"/>
    <hyperlink xmlns:r="http://schemas.openxmlformats.org/officeDocument/2006/relationships" ref="E5" r:id="rId6"/>
    <hyperlink xmlns:r="http://schemas.openxmlformats.org/officeDocument/2006/relationships" ref="D6" r:id="rId7"/>
    <hyperlink xmlns:r="http://schemas.openxmlformats.org/officeDocument/2006/relationships" ref="E6" r:id="rId8"/>
    <hyperlink xmlns:r="http://schemas.openxmlformats.org/officeDocument/2006/relationships" ref="D7" r:id="rId9"/>
    <hyperlink xmlns:r="http://schemas.openxmlformats.org/officeDocument/2006/relationships" ref="E7" r:id="rId10"/>
    <hyperlink xmlns:r="http://schemas.openxmlformats.org/officeDocument/2006/relationships" ref="D11" r:id="rId11"/>
    <hyperlink xmlns:r="http://schemas.openxmlformats.org/officeDocument/2006/relationships" ref="E11" r:id="rId12"/>
    <hyperlink xmlns:r="http://schemas.openxmlformats.org/officeDocument/2006/relationships" ref="D12" r:id="rId13"/>
    <hyperlink xmlns:r="http://schemas.openxmlformats.org/officeDocument/2006/relationships" ref="E12" r:id="rId14"/>
    <hyperlink xmlns:r="http://schemas.openxmlformats.org/officeDocument/2006/relationships" ref="D13" r:id="rId15"/>
    <hyperlink xmlns:r="http://schemas.openxmlformats.org/officeDocument/2006/relationships" ref="E13" r:id="rId16"/>
    <hyperlink xmlns:r="http://schemas.openxmlformats.org/officeDocument/2006/relationships" ref="D14" r:id="rId17"/>
    <hyperlink xmlns:r="http://schemas.openxmlformats.org/officeDocument/2006/relationships" ref="E14" r:id="rId18"/>
    <hyperlink xmlns:r="http://schemas.openxmlformats.org/officeDocument/2006/relationships" ref="D15" r:id="rId19"/>
    <hyperlink xmlns:r="http://schemas.openxmlformats.org/officeDocument/2006/relationships" ref="E15" r:id="rId20"/>
    <hyperlink xmlns:r="http://schemas.openxmlformats.org/officeDocument/2006/relationships" ref="D16" r:id="rId21"/>
    <hyperlink xmlns:r="http://schemas.openxmlformats.org/officeDocument/2006/relationships" ref="E16" r:id="rId22"/>
    <hyperlink xmlns:r="http://schemas.openxmlformats.org/officeDocument/2006/relationships" ref="D17" r:id="rId23"/>
    <hyperlink xmlns:r="http://schemas.openxmlformats.org/officeDocument/2006/relationships" ref="E17" r:id="rId24"/>
    <hyperlink xmlns:r="http://schemas.openxmlformats.org/officeDocument/2006/relationships" ref="D18" r:id="rId25"/>
    <hyperlink xmlns:r="http://schemas.openxmlformats.org/officeDocument/2006/relationships" ref="E18" r:id="rId26"/>
    <hyperlink xmlns:r="http://schemas.openxmlformats.org/officeDocument/2006/relationships" ref="D19" r:id="rId27"/>
    <hyperlink xmlns:r="http://schemas.openxmlformats.org/officeDocument/2006/relationships" ref="E19" r:id="rId28"/>
    <hyperlink xmlns:r="http://schemas.openxmlformats.org/officeDocument/2006/relationships" ref="D23" r:id="rId29"/>
    <hyperlink xmlns:r="http://schemas.openxmlformats.org/officeDocument/2006/relationships" ref="E23" r:id="rId30"/>
    <hyperlink xmlns:r="http://schemas.openxmlformats.org/officeDocument/2006/relationships" ref="D24" r:id="rId31"/>
    <hyperlink xmlns:r="http://schemas.openxmlformats.org/officeDocument/2006/relationships" ref="E24" r:id="rId32"/>
    <hyperlink xmlns:r="http://schemas.openxmlformats.org/officeDocument/2006/relationships" ref="D25" r:id="rId33"/>
    <hyperlink xmlns:r="http://schemas.openxmlformats.org/officeDocument/2006/relationships" ref="E25" r:id="rId34"/>
    <hyperlink xmlns:r="http://schemas.openxmlformats.org/officeDocument/2006/relationships" ref="D26" r:id="rId35"/>
    <hyperlink xmlns:r="http://schemas.openxmlformats.org/officeDocument/2006/relationships" ref="E26" r:id="rId36"/>
    <hyperlink xmlns:r="http://schemas.openxmlformats.org/officeDocument/2006/relationships" ref="D27" r:id="rId37"/>
    <hyperlink xmlns:r="http://schemas.openxmlformats.org/officeDocument/2006/relationships" ref="E27" r:id="rId38"/>
    <hyperlink xmlns:r="http://schemas.openxmlformats.org/officeDocument/2006/relationships" ref="D28" r:id="rId39"/>
    <hyperlink xmlns:r="http://schemas.openxmlformats.org/officeDocument/2006/relationships" ref="E28" r:id="rId40"/>
    <hyperlink xmlns:r="http://schemas.openxmlformats.org/officeDocument/2006/relationships" ref="D29" r:id="rId41"/>
    <hyperlink xmlns:r="http://schemas.openxmlformats.org/officeDocument/2006/relationships" ref="E29" r:id="rId42"/>
    <hyperlink xmlns:r="http://schemas.openxmlformats.org/officeDocument/2006/relationships" ref="D30" r:id="rId43"/>
    <hyperlink xmlns:r="http://schemas.openxmlformats.org/officeDocument/2006/relationships" ref="E30" r:id="rId44"/>
    <hyperlink xmlns:r="http://schemas.openxmlformats.org/officeDocument/2006/relationships" ref="D31" r:id="rId45"/>
    <hyperlink xmlns:r="http://schemas.openxmlformats.org/officeDocument/2006/relationships" ref="E31" r:id="rId46"/>
    <hyperlink xmlns:r="http://schemas.openxmlformats.org/officeDocument/2006/relationships" ref="D32" r:id="rId47"/>
    <hyperlink xmlns:r="http://schemas.openxmlformats.org/officeDocument/2006/relationships" ref="E32" r:id="rId48"/>
    <hyperlink xmlns:r="http://schemas.openxmlformats.org/officeDocument/2006/relationships" ref="D36" r:id="rId49"/>
    <hyperlink xmlns:r="http://schemas.openxmlformats.org/officeDocument/2006/relationships" ref="E36" r:id="rId50"/>
    <hyperlink xmlns:r="http://schemas.openxmlformats.org/officeDocument/2006/relationships" ref="D37" r:id="rId51"/>
    <hyperlink xmlns:r="http://schemas.openxmlformats.org/officeDocument/2006/relationships" ref="E37" r:id="rId52"/>
    <hyperlink xmlns:r="http://schemas.openxmlformats.org/officeDocument/2006/relationships" ref="D38" r:id="rId53"/>
    <hyperlink xmlns:r="http://schemas.openxmlformats.org/officeDocument/2006/relationships" ref="E38" r:id="rId54"/>
    <hyperlink xmlns:r="http://schemas.openxmlformats.org/officeDocument/2006/relationships" ref="D39" r:id="rId55"/>
    <hyperlink xmlns:r="http://schemas.openxmlformats.org/officeDocument/2006/relationships" ref="E39" r:id="rId56"/>
    <hyperlink xmlns:r="http://schemas.openxmlformats.org/officeDocument/2006/relationships" ref="D40" r:id="rId57"/>
    <hyperlink xmlns:r="http://schemas.openxmlformats.org/officeDocument/2006/relationships" ref="E40" r:id="rId58"/>
    <hyperlink xmlns:r="http://schemas.openxmlformats.org/officeDocument/2006/relationships" ref="D41" r:id="rId59"/>
    <hyperlink xmlns:r="http://schemas.openxmlformats.org/officeDocument/2006/relationships" ref="E41" r:id="rId60"/>
    <hyperlink xmlns:r="http://schemas.openxmlformats.org/officeDocument/2006/relationships" ref="D42" r:id="rId61"/>
    <hyperlink xmlns:r="http://schemas.openxmlformats.org/officeDocument/2006/relationships" ref="E42" r:id="rId62"/>
    <hyperlink xmlns:r="http://schemas.openxmlformats.org/officeDocument/2006/relationships" ref="D43" r:id="rId63"/>
    <hyperlink xmlns:r="http://schemas.openxmlformats.org/officeDocument/2006/relationships" ref="E43" r:id="rId64"/>
    <hyperlink xmlns:r="http://schemas.openxmlformats.org/officeDocument/2006/relationships" ref="D44" r:id="rId65"/>
    <hyperlink xmlns:r="http://schemas.openxmlformats.org/officeDocument/2006/relationships" ref="E44" r:id="rId66"/>
    <hyperlink xmlns:r="http://schemas.openxmlformats.org/officeDocument/2006/relationships" ref="D45" r:id="rId67"/>
    <hyperlink xmlns:r="http://schemas.openxmlformats.org/officeDocument/2006/relationships" ref="E45" r:id="rId68"/>
    <hyperlink xmlns:r="http://schemas.openxmlformats.org/officeDocument/2006/relationships" ref="D49" r:id="rId69"/>
    <hyperlink xmlns:r="http://schemas.openxmlformats.org/officeDocument/2006/relationships" ref="E49" r:id="rId70"/>
    <hyperlink xmlns:r="http://schemas.openxmlformats.org/officeDocument/2006/relationships" ref="D50" r:id="rId71"/>
    <hyperlink xmlns:r="http://schemas.openxmlformats.org/officeDocument/2006/relationships" ref="E50" r:id="rId72"/>
    <hyperlink xmlns:r="http://schemas.openxmlformats.org/officeDocument/2006/relationships" ref="D51" r:id="rId73"/>
    <hyperlink xmlns:r="http://schemas.openxmlformats.org/officeDocument/2006/relationships" ref="E51" r:id="rId74"/>
    <hyperlink xmlns:r="http://schemas.openxmlformats.org/officeDocument/2006/relationships" ref="D52" r:id="rId75"/>
    <hyperlink xmlns:r="http://schemas.openxmlformats.org/officeDocument/2006/relationships" ref="E52" r:id="rId76"/>
    <hyperlink xmlns:r="http://schemas.openxmlformats.org/officeDocument/2006/relationships" ref="D53" r:id="rId77"/>
    <hyperlink xmlns:r="http://schemas.openxmlformats.org/officeDocument/2006/relationships" ref="E53" r:id="rId78"/>
    <hyperlink xmlns:r="http://schemas.openxmlformats.org/officeDocument/2006/relationships" ref="D57" r:id="rId79"/>
    <hyperlink xmlns:r="http://schemas.openxmlformats.org/officeDocument/2006/relationships" ref="E57" r:id="rId80"/>
    <hyperlink xmlns:r="http://schemas.openxmlformats.org/officeDocument/2006/relationships" ref="D58" r:id="rId81"/>
    <hyperlink xmlns:r="http://schemas.openxmlformats.org/officeDocument/2006/relationships" ref="E58" r:id="rId82"/>
    <hyperlink xmlns:r="http://schemas.openxmlformats.org/officeDocument/2006/relationships" ref="D59" r:id="rId83"/>
    <hyperlink xmlns:r="http://schemas.openxmlformats.org/officeDocument/2006/relationships" ref="E59" r:id="rId84"/>
    <hyperlink xmlns:r="http://schemas.openxmlformats.org/officeDocument/2006/relationships" ref="D60" r:id="rId85"/>
    <hyperlink xmlns:r="http://schemas.openxmlformats.org/officeDocument/2006/relationships" ref="E60" r:id="rId86"/>
    <hyperlink xmlns:r="http://schemas.openxmlformats.org/officeDocument/2006/relationships" ref="D61" r:id="rId87"/>
    <hyperlink xmlns:r="http://schemas.openxmlformats.org/officeDocument/2006/relationships" ref="E61" r:id="rId88"/>
    <hyperlink xmlns:r="http://schemas.openxmlformats.org/officeDocument/2006/relationships" ref="D62" r:id="rId89"/>
    <hyperlink xmlns:r="http://schemas.openxmlformats.org/officeDocument/2006/relationships" ref="E62" r:id="rId90"/>
    <hyperlink xmlns:r="http://schemas.openxmlformats.org/officeDocument/2006/relationships" ref="D63" r:id="rId91"/>
    <hyperlink xmlns:r="http://schemas.openxmlformats.org/officeDocument/2006/relationships" ref="E63" r:id="rId92"/>
    <hyperlink xmlns:r="http://schemas.openxmlformats.org/officeDocument/2006/relationships" ref="D67" r:id="rId93"/>
    <hyperlink xmlns:r="http://schemas.openxmlformats.org/officeDocument/2006/relationships" ref="E67" r:id="rId94"/>
    <hyperlink xmlns:r="http://schemas.openxmlformats.org/officeDocument/2006/relationships" ref="D68" r:id="rId95"/>
    <hyperlink xmlns:r="http://schemas.openxmlformats.org/officeDocument/2006/relationships" ref="E68" r:id="rId96"/>
    <hyperlink xmlns:r="http://schemas.openxmlformats.org/officeDocument/2006/relationships" ref="D69" r:id="rId97"/>
    <hyperlink xmlns:r="http://schemas.openxmlformats.org/officeDocument/2006/relationships" ref="E69" r:id="rId98"/>
    <hyperlink xmlns:r="http://schemas.openxmlformats.org/officeDocument/2006/relationships" ref="D70" r:id="rId99"/>
    <hyperlink xmlns:r="http://schemas.openxmlformats.org/officeDocument/2006/relationships" ref="E70" r:id="rId100"/>
    <hyperlink xmlns:r="http://schemas.openxmlformats.org/officeDocument/2006/relationships" ref="D71" r:id="rId101"/>
    <hyperlink xmlns:r="http://schemas.openxmlformats.org/officeDocument/2006/relationships" ref="E71" r:id="rId102"/>
    <hyperlink xmlns:r="http://schemas.openxmlformats.org/officeDocument/2006/relationships" ref="D72" r:id="rId103"/>
    <hyperlink xmlns:r="http://schemas.openxmlformats.org/officeDocument/2006/relationships" ref="E72" r:id="rId104"/>
    <hyperlink xmlns:r="http://schemas.openxmlformats.org/officeDocument/2006/relationships" ref="D73" r:id="rId105"/>
    <hyperlink xmlns:r="http://schemas.openxmlformats.org/officeDocument/2006/relationships" ref="E73" r:id="rId106"/>
    <hyperlink xmlns:r="http://schemas.openxmlformats.org/officeDocument/2006/relationships" ref="D74" r:id="rId107"/>
    <hyperlink xmlns:r="http://schemas.openxmlformats.org/officeDocument/2006/relationships" ref="E74" r:id="rId108"/>
    <hyperlink xmlns:r="http://schemas.openxmlformats.org/officeDocument/2006/relationships" ref="D75" r:id="rId109"/>
    <hyperlink xmlns:r="http://schemas.openxmlformats.org/officeDocument/2006/relationships" ref="E75" r:id="rId110"/>
    <hyperlink xmlns:r="http://schemas.openxmlformats.org/officeDocument/2006/relationships" ref="D76" r:id="rId111"/>
    <hyperlink xmlns:r="http://schemas.openxmlformats.org/officeDocument/2006/relationships" ref="E76" r:id="rId112"/>
    <hyperlink xmlns:r="http://schemas.openxmlformats.org/officeDocument/2006/relationships" ref="D80" r:id="rId113"/>
    <hyperlink xmlns:r="http://schemas.openxmlformats.org/officeDocument/2006/relationships" ref="E80" r:id="rId114"/>
    <hyperlink xmlns:r="http://schemas.openxmlformats.org/officeDocument/2006/relationships" ref="D81" r:id="rId115"/>
    <hyperlink xmlns:r="http://schemas.openxmlformats.org/officeDocument/2006/relationships" ref="E81" r:id="rId116"/>
    <hyperlink xmlns:r="http://schemas.openxmlformats.org/officeDocument/2006/relationships" ref="D82" r:id="rId117"/>
    <hyperlink xmlns:r="http://schemas.openxmlformats.org/officeDocument/2006/relationships" ref="E82" r:id="rId118"/>
    <hyperlink xmlns:r="http://schemas.openxmlformats.org/officeDocument/2006/relationships" ref="D83" r:id="rId119"/>
    <hyperlink xmlns:r="http://schemas.openxmlformats.org/officeDocument/2006/relationships" ref="E83" r:id="rId120"/>
    <hyperlink xmlns:r="http://schemas.openxmlformats.org/officeDocument/2006/relationships" ref="D84" r:id="rId121"/>
    <hyperlink xmlns:r="http://schemas.openxmlformats.org/officeDocument/2006/relationships" ref="E84" r:id="rId122"/>
    <hyperlink xmlns:r="http://schemas.openxmlformats.org/officeDocument/2006/relationships" ref="D85" r:id="rId123"/>
    <hyperlink xmlns:r="http://schemas.openxmlformats.org/officeDocument/2006/relationships" ref="E85" r:id="rId124"/>
    <hyperlink xmlns:r="http://schemas.openxmlformats.org/officeDocument/2006/relationships" ref="D86" r:id="rId125"/>
    <hyperlink xmlns:r="http://schemas.openxmlformats.org/officeDocument/2006/relationships" ref="E86" r:id="rId126"/>
    <hyperlink xmlns:r="http://schemas.openxmlformats.org/officeDocument/2006/relationships" ref="D87" r:id="rId127"/>
    <hyperlink xmlns:r="http://schemas.openxmlformats.org/officeDocument/2006/relationships" ref="E87" r:id="rId128"/>
    <hyperlink xmlns:r="http://schemas.openxmlformats.org/officeDocument/2006/relationships" ref="D88" r:id="rId129"/>
    <hyperlink xmlns:r="http://schemas.openxmlformats.org/officeDocument/2006/relationships" ref="E88" r:id="rId130"/>
    <hyperlink xmlns:r="http://schemas.openxmlformats.org/officeDocument/2006/relationships" ref="D89" r:id="rId131"/>
    <hyperlink xmlns:r="http://schemas.openxmlformats.org/officeDocument/2006/relationships" ref="E89" r:id="rId132"/>
    <hyperlink xmlns:r="http://schemas.openxmlformats.org/officeDocument/2006/relationships" ref="D90" r:id="rId133"/>
    <hyperlink xmlns:r="http://schemas.openxmlformats.org/officeDocument/2006/relationships" ref="E90" r:id="rId134"/>
    <hyperlink xmlns:r="http://schemas.openxmlformats.org/officeDocument/2006/relationships" ref="D91" r:id="rId135"/>
    <hyperlink xmlns:r="http://schemas.openxmlformats.org/officeDocument/2006/relationships" ref="E91" r:id="rId136"/>
    <hyperlink xmlns:r="http://schemas.openxmlformats.org/officeDocument/2006/relationships" ref="D92" r:id="rId137"/>
    <hyperlink xmlns:r="http://schemas.openxmlformats.org/officeDocument/2006/relationships" ref="E92" r:id="rId138"/>
    <hyperlink xmlns:r="http://schemas.openxmlformats.org/officeDocument/2006/relationships" ref="D93" r:id="rId139"/>
    <hyperlink xmlns:r="http://schemas.openxmlformats.org/officeDocument/2006/relationships" ref="E93" r:id="rId140"/>
    <hyperlink xmlns:r="http://schemas.openxmlformats.org/officeDocument/2006/relationships" ref="D94" r:id="rId141"/>
    <hyperlink xmlns:r="http://schemas.openxmlformats.org/officeDocument/2006/relationships" ref="E94" r:id="rId142"/>
    <hyperlink xmlns:r="http://schemas.openxmlformats.org/officeDocument/2006/relationships" ref="D98" r:id="rId143"/>
    <hyperlink xmlns:r="http://schemas.openxmlformats.org/officeDocument/2006/relationships" ref="E98" r:id="rId144"/>
    <hyperlink xmlns:r="http://schemas.openxmlformats.org/officeDocument/2006/relationships" ref="D99" r:id="rId145"/>
    <hyperlink xmlns:r="http://schemas.openxmlformats.org/officeDocument/2006/relationships" ref="E99" r:id="rId146"/>
    <hyperlink xmlns:r="http://schemas.openxmlformats.org/officeDocument/2006/relationships" ref="D100" r:id="rId147"/>
    <hyperlink xmlns:r="http://schemas.openxmlformats.org/officeDocument/2006/relationships" ref="E100" r:id="rId148"/>
    <hyperlink xmlns:r="http://schemas.openxmlformats.org/officeDocument/2006/relationships" ref="D101" r:id="rId149"/>
    <hyperlink xmlns:r="http://schemas.openxmlformats.org/officeDocument/2006/relationships" ref="E101" r:id="rId150"/>
    <hyperlink xmlns:r="http://schemas.openxmlformats.org/officeDocument/2006/relationships" ref="D102" r:id="rId151"/>
    <hyperlink xmlns:r="http://schemas.openxmlformats.org/officeDocument/2006/relationships" ref="E102" r:id="rId152"/>
    <hyperlink xmlns:r="http://schemas.openxmlformats.org/officeDocument/2006/relationships" ref="D103" r:id="rId153"/>
    <hyperlink xmlns:r="http://schemas.openxmlformats.org/officeDocument/2006/relationships" ref="E103" r:id="rId154"/>
    <hyperlink xmlns:r="http://schemas.openxmlformats.org/officeDocument/2006/relationships" ref="D104" r:id="rId155"/>
    <hyperlink xmlns:r="http://schemas.openxmlformats.org/officeDocument/2006/relationships" ref="E104" r:id="rId156"/>
    <hyperlink xmlns:r="http://schemas.openxmlformats.org/officeDocument/2006/relationships" ref="D105" r:id="rId157"/>
    <hyperlink xmlns:r="http://schemas.openxmlformats.org/officeDocument/2006/relationships" ref="E105" r:id="rId158"/>
    <hyperlink xmlns:r="http://schemas.openxmlformats.org/officeDocument/2006/relationships" ref="D109" r:id="rId159"/>
    <hyperlink xmlns:r="http://schemas.openxmlformats.org/officeDocument/2006/relationships" ref="E109" r:id="rId160"/>
    <hyperlink xmlns:r="http://schemas.openxmlformats.org/officeDocument/2006/relationships" ref="D110" r:id="rId161"/>
    <hyperlink xmlns:r="http://schemas.openxmlformats.org/officeDocument/2006/relationships" ref="E110" r:id="rId162"/>
    <hyperlink xmlns:r="http://schemas.openxmlformats.org/officeDocument/2006/relationships" ref="D111" r:id="rId163"/>
    <hyperlink xmlns:r="http://schemas.openxmlformats.org/officeDocument/2006/relationships" ref="E111" r:id="rId164"/>
    <hyperlink xmlns:r="http://schemas.openxmlformats.org/officeDocument/2006/relationships" ref="D112" r:id="rId165"/>
    <hyperlink xmlns:r="http://schemas.openxmlformats.org/officeDocument/2006/relationships" ref="E112" r:id="rId166"/>
    <hyperlink xmlns:r="http://schemas.openxmlformats.org/officeDocument/2006/relationships" ref="D113" r:id="rId167"/>
    <hyperlink xmlns:r="http://schemas.openxmlformats.org/officeDocument/2006/relationships" ref="E113" r:id="rId168"/>
    <hyperlink xmlns:r="http://schemas.openxmlformats.org/officeDocument/2006/relationships" ref="D114" r:id="rId169"/>
    <hyperlink xmlns:r="http://schemas.openxmlformats.org/officeDocument/2006/relationships" ref="E114" r:id="rId170"/>
    <hyperlink xmlns:r="http://schemas.openxmlformats.org/officeDocument/2006/relationships" ref="D115" r:id="rId171"/>
    <hyperlink xmlns:r="http://schemas.openxmlformats.org/officeDocument/2006/relationships" ref="E115" r:id="rId172"/>
    <hyperlink xmlns:r="http://schemas.openxmlformats.org/officeDocument/2006/relationships" ref="D116" r:id="rId173"/>
    <hyperlink xmlns:r="http://schemas.openxmlformats.org/officeDocument/2006/relationships" ref="E116" r:id="rId1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2026-08-05T07:04:18Z</dcterms:created>
  <dcterms:modified xmlns:dcterms="http://purl.org/dc/terms/" xmlns:xsi="http://www.w3.org/2001/XMLSchema-instance" xsi:type="dcterms:W3CDTF">2026-08-05T07:04:18Z</dcterms:modified>
</cp:coreProperties>
</file>