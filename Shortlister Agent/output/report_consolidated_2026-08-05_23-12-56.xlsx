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color rgb="000563C1"/>
      <u val="single"/>
    </font>
    <font>
      <b val="1"/>
      <color rgb="000F5132"/>
    </font>
    <font>
      <name val="Arial"/>
      <b val="1"/>
      <color rgb="00FFFFFF"/>
      <sz val="12"/>
    </font>
    <font>
      <name val="Arial"/>
      <b val="1"/>
      <color rgb="002F5496"/>
      <sz val="10"/>
    </font>
    <font>
      <name val="Arial"/>
      <sz val="10"/>
    </font>
    <font>
      <name val="Arial"/>
      <color rgb="000563C1"/>
      <sz val="10"/>
      <u val="single"/>
    </font>
  </fonts>
  <fills count="7">
    <fill>
      <patternFill/>
    </fill>
    <fill>
      <patternFill patternType="gray125"/>
    </fill>
    <fill>
      <patternFill patternType="solid">
        <fgColor rgb="001F2937"/>
        <bgColor rgb="001F2937"/>
      </patternFill>
    </fill>
    <fill>
      <patternFill patternType="solid">
        <fgColor rgb="00D1E7DD"/>
        <bgColor rgb="00D1E7DD"/>
      </patternFill>
    </fill>
    <fill>
      <patternFill patternType="solid">
        <fgColor rgb="002F5496"/>
      </patternFill>
    </fill>
    <fill>
      <patternFill patternType="solid">
        <fgColor rgb="00D6E4F0"/>
      </patternFill>
    </fill>
    <fill>
      <patternFill patternType="solid">
        <fgColor rgb="00F2F2F2"/>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0" fillId="4" borderId="1" pivotButton="0" quotePrefix="0" xfId="0"/>
    <xf numFmtId="0" fontId="5" fillId="5" borderId="1" applyAlignment="1" pivotButton="0" quotePrefix="0" xfId="0">
      <alignment horizontal="center" vertical="center"/>
    </xf>
    <xf numFmtId="0" fontId="6" fillId="0" borderId="1" applyAlignment="1" pivotButton="0" quotePrefix="0" xfId="0">
      <alignment horizontal="center" vertical="center"/>
    </xf>
    <xf numFmtId="0" fontId="6" fillId="0" borderId="1" applyAlignment="1" pivotButton="0" quotePrefix="0" xfId="0">
      <alignment vertical="center" wrapText="1"/>
    </xf>
    <xf numFmtId="0" fontId="7" fillId="0" borderId="1" applyAlignment="1" pivotButton="0" quotePrefix="0" xfId="0">
      <alignment vertical="center" wrapText="1"/>
    </xf>
    <xf numFmtId="0" fontId="6" fillId="6" borderId="1" applyAlignment="1" pivotButton="0" quotePrefix="0" xfId="0">
      <alignment horizontal="center" vertical="center"/>
    </xf>
    <xf numFmtId="0" fontId="6" fillId="6" borderId="1" applyAlignment="1" pivotButton="0" quotePrefix="0" xfId="0">
      <alignment vertical="center" wrapText="1"/>
    </xf>
    <xf numFmtId="0" fontId="7" fillId="6"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n.linkedin.com/in/sandeep-jain-akums" TargetMode="External" Id="rId1"/><Relationship Type="http://schemas.openxmlformats.org/officeDocument/2006/relationships/hyperlink" Target="https://www.linkedin.com/company/akums" TargetMode="External" Id="rId2"/><Relationship Type="http://schemas.openxmlformats.org/officeDocument/2006/relationships/hyperlink" Target="https://in.linkedin.com/in/sanjeev-jain-ab257a2a" TargetMode="External" Id="rId3"/><Relationship Type="http://schemas.openxmlformats.org/officeDocument/2006/relationships/hyperlink" Target="https://www.linkedin.com/company/akums" TargetMode="External" Id="rId4"/><Relationship Type="http://schemas.openxmlformats.org/officeDocument/2006/relationships/hyperlink" Target="https://in.linkedin.com/in/arushi-jain-15998264" TargetMode="External" Id="rId5"/><Relationship Type="http://schemas.openxmlformats.org/officeDocument/2006/relationships/hyperlink" Target="https://www.linkedin.com/company/akums" TargetMode="External" Id="rId6"/><Relationship Type="http://schemas.openxmlformats.org/officeDocument/2006/relationships/hyperlink" Target="https://in.linkedin.com/in/manmohan-singh-282671209" TargetMode="External" Id="rId7"/><Relationship Type="http://schemas.openxmlformats.org/officeDocument/2006/relationships/hyperlink" Target="https://www.linkedin.com/company/akums" TargetMode="External" Id="rId8"/><Relationship Type="http://schemas.openxmlformats.org/officeDocument/2006/relationships/hyperlink" Target="https://in.linkedin.com/in/arvind-srivastava-26282a1a" TargetMode="External" Id="rId9"/><Relationship Type="http://schemas.openxmlformats.org/officeDocument/2006/relationships/hyperlink" Target="https://www.linkedin.com/company/akums" TargetMode="External" Id="rId10"/><Relationship Type="http://schemas.openxmlformats.org/officeDocument/2006/relationships/hyperlink" Target="https://in.linkedin.com/in/arun-salhotra-3ab1221a4" TargetMode="External" Id="rId11"/><Relationship Type="http://schemas.openxmlformats.org/officeDocument/2006/relationships/hyperlink" Target="https://www.linkedin.com/company/akums" TargetMode="External" Id="rId12"/><Relationship Type="http://schemas.openxmlformats.org/officeDocument/2006/relationships/hyperlink" Target="https://in.linkedin.com/in/ashish-jain-ba3600120" TargetMode="External" Id="rId13"/><Relationship Type="http://schemas.openxmlformats.org/officeDocument/2006/relationships/hyperlink" Target="https://www.linkedin.com/company/akums" TargetMode="External" Id="rId14"/><Relationship Type="http://schemas.openxmlformats.org/officeDocument/2006/relationships/hyperlink" Target="https://www.linkedin.com/in/dr-rajesh-nair-84455a" TargetMode="External" Id="rId15"/><Relationship Type="http://schemas.openxmlformats.org/officeDocument/2006/relationships/hyperlink" Target="https://www.linkedin.com/company/indegene" TargetMode="External" Id="rId16"/><Relationship Type="http://schemas.openxmlformats.org/officeDocument/2006/relationships/hyperlink" Target="https://in.linkedin.com/in/globalcme" TargetMode="External" Id="rId17"/><Relationship Type="http://schemas.openxmlformats.org/officeDocument/2006/relationships/hyperlink" Target="https://www.linkedin.com/company/indegene" TargetMode="External" Id="rId18"/><Relationship Type="http://schemas.openxmlformats.org/officeDocument/2006/relationships/hyperlink" Target="https://www.linkedin.com/in/mobilemoney1" TargetMode="External" Id="rId19"/><Relationship Type="http://schemas.openxmlformats.org/officeDocument/2006/relationships/hyperlink" Target="https://www.linkedin.com/company/indegene" TargetMode="External" Id="rId20"/><Relationship Type="http://schemas.openxmlformats.org/officeDocument/2006/relationships/hyperlink" Target="https://in.linkedin.com/in/manish-gupta-4b85b2" TargetMode="External" Id="rId21"/><Relationship Type="http://schemas.openxmlformats.org/officeDocument/2006/relationships/hyperlink" Target="https://www.linkedin.com/company/indegene" TargetMode="External" Id="rId22"/><Relationship Type="http://schemas.openxmlformats.org/officeDocument/2006/relationships/hyperlink" Target="https://in.linkedin.com/in/guptaamitk" TargetMode="External" Id="rId23"/><Relationship Type="http://schemas.openxmlformats.org/officeDocument/2006/relationships/hyperlink" Target="https://www.linkedin.com/company/indegene" TargetMode="External" Id="rId24"/><Relationship Type="http://schemas.openxmlformats.org/officeDocument/2006/relationships/hyperlink" Target="https://in.linkedin.com/in/nishantharao" TargetMode="External" Id="rId25"/><Relationship Type="http://schemas.openxmlformats.org/officeDocument/2006/relationships/hyperlink" Target="https://www.linkedin.com/company/indegene" TargetMode="External" Id="rId26"/><Relationship Type="http://schemas.openxmlformats.org/officeDocument/2006/relationships/hyperlink" Target="https://in.linkedin.com/in/murtazakhorakiwala" TargetMode="External" Id="rId27"/><Relationship Type="http://schemas.openxmlformats.org/officeDocument/2006/relationships/hyperlink" Target="https://www.linkedin.com/company/wockhardt" TargetMode="External" Id="rId28"/><Relationship Type="http://schemas.openxmlformats.org/officeDocument/2006/relationships/hyperlink" Target="https://in.linkedin.com/in/prthwijit-kundu-17132419" TargetMode="External" Id="rId29"/><Relationship Type="http://schemas.openxmlformats.org/officeDocument/2006/relationships/hyperlink" Target="https://www.linkedin.com/company/wockhardt" TargetMode="External" Id="rId30"/><Relationship Type="http://schemas.openxmlformats.org/officeDocument/2006/relationships/hyperlink" Target="https://in.linkedin.com/in/dr-parag-r-rindani-3733524" TargetMode="External" Id="rId31"/><Relationship Type="http://schemas.openxmlformats.org/officeDocument/2006/relationships/hyperlink" Target="https://www.linkedin.com/company/wockhardt" TargetMode="External" Id="rId32"/><Relationship Type="http://schemas.openxmlformats.org/officeDocument/2006/relationships/hyperlink" Target="https://in.linkedin.com/in/annapurna-das-10aa394" TargetMode="External" Id="rId33"/><Relationship Type="http://schemas.openxmlformats.org/officeDocument/2006/relationships/hyperlink" Target="https://www.linkedin.com/company/wockhardt" TargetMode="External" Id="rId34"/><Relationship Type="http://schemas.openxmlformats.org/officeDocument/2006/relationships/hyperlink" Target="https://in.linkedin.com/in/suresh-v-68661176" TargetMode="External" Id="rId35"/><Relationship Type="http://schemas.openxmlformats.org/officeDocument/2006/relationships/hyperlink" Target="https://www.linkedin.com/company/wockhardt" TargetMode="External" Id="rId36"/><Relationship Type="http://schemas.openxmlformats.org/officeDocument/2006/relationships/hyperlink" Target="https://in.linkedin.com/in/suresh-shenoy-661aa722" TargetMode="External" Id="rId37"/><Relationship Type="http://schemas.openxmlformats.org/officeDocument/2006/relationships/hyperlink" Target="https://www.linkedin.com/company/wockhardt" TargetMode="External" Id="rId38"/><Relationship Type="http://schemas.openxmlformats.org/officeDocument/2006/relationships/hyperlink" Target="https://in.linkedin.com/in/abhinna-sundar-mohanty-1276aa18" TargetMode="External" Id="rId39"/><Relationship Type="http://schemas.openxmlformats.org/officeDocument/2006/relationships/hyperlink" Target="https://www.linkedin.com/company/marksans-pharma-ltd---india" TargetMode="External" Id="rId40"/><Relationship Type="http://schemas.openxmlformats.org/officeDocument/2006/relationships/hyperlink" Target="https://in.linkedin.com/in/piyush-joshi-278bb243" TargetMode="External" Id="rId41"/><Relationship Type="http://schemas.openxmlformats.org/officeDocument/2006/relationships/hyperlink" Target="https://www.linkedin.com/company/marksans-pharma-ltd---india" TargetMode="External" Id="rId42"/><Relationship Type="http://schemas.openxmlformats.org/officeDocument/2006/relationships/hyperlink" Target="https://in.linkedin.com/in/sunil-rane-0429b7137" TargetMode="External" Id="rId43"/><Relationship Type="http://schemas.openxmlformats.org/officeDocument/2006/relationships/hyperlink" Target="https://www.linkedin.com/company/marksans-pharma-ltd---india" TargetMode="External" Id="rId44"/><Relationship Type="http://schemas.openxmlformats.org/officeDocument/2006/relationships/hyperlink" Target="https://in.linkedin.com/in/anurag-pathak-9a4a0b85" TargetMode="External" Id="rId45"/><Relationship Type="http://schemas.openxmlformats.org/officeDocument/2006/relationships/hyperlink" Target="https://www.linkedin.com/company/marksans-pharma-ltd---india" TargetMode="External" Id="rId46"/><Relationship Type="http://schemas.openxmlformats.org/officeDocument/2006/relationships/hyperlink" Target="https://in.linkedin.com/in/vikas-bhargava-8393705" TargetMode="External" Id="rId47"/><Relationship Type="http://schemas.openxmlformats.org/officeDocument/2006/relationships/hyperlink" Target="https://www.linkedin.com/company/marksans-pharma-ltd---india" TargetMode="External" Id="rId48"/><Relationship Type="http://schemas.openxmlformats.org/officeDocument/2006/relationships/hyperlink" Target="https://in.linkedin.com/in/sopan-pisal-324b1214" TargetMode="External" Id="rId49"/><Relationship Type="http://schemas.openxmlformats.org/officeDocument/2006/relationships/hyperlink" Target="https://www.linkedin.com/company/marksans-pharma-ltd---india" TargetMode="External" Id="rId50"/><Relationship Type="http://schemas.openxmlformats.org/officeDocument/2006/relationships/hyperlink" Target="https://in.linkedin.com/in/chaitanya-kulkarni-1429b810" TargetMode="External" Id="rId51"/><Relationship Type="http://schemas.openxmlformats.org/officeDocument/2006/relationships/hyperlink" Target="https://www.linkedin.com/company/marksans-pharma-ltd---india" TargetMode="External" Id="rId52"/><Relationship Type="http://schemas.openxmlformats.org/officeDocument/2006/relationships/hyperlink" Target="https://in.linkedin.com/in/rudra-singh-40065220" TargetMode="External" Id="rId53"/><Relationship Type="http://schemas.openxmlformats.org/officeDocument/2006/relationships/hyperlink" Target="https://www.linkedin.com/company/marksans-pharma-ltd---india" TargetMode="External" Id="rId54"/><Relationship Type="http://schemas.openxmlformats.org/officeDocument/2006/relationships/hyperlink" Target="https://in.linkedin.com/in/jitendra-sharma-a4480a6" TargetMode="External" Id="rId55"/><Relationship Type="http://schemas.openxmlformats.org/officeDocument/2006/relationships/hyperlink" Target="https://www.linkedin.com/company/marksans-pharma-ltd---india" TargetMode="External" Id="rId56"/><Relationship Type="http://schemas.openxmlformats.org/officeDocument/2006/relationships/hyperlink" Target="https://www.linkedin.com/in/anjani-kumar-04908b11b" TargetMode="External" Id="rId57"/><Relationship Type="http://schemas.openxmlformats.org/officeDocument/2006/relationships/hyperlink" Target="https://www.linkedin.com/company/marksans-pharma-ltd---india" TargetMode="External" Id="rId58"/><Relationship Type="http://schemas.openxmlformats.org/officeDocument/2006/relationships/hyperlink" Target="https://in.linkedin.com/in/prashanth-kumar-886138108" TargetMode="External" Id="rId59"/><Relationship Type="http://schemas.openxmlformats.org/officeDocument/2006/relationships/hyperlink" Target="https://www.linkedin.com/company/marksans-pharma-ltd---india" TargetMode="External" Id="rId60"/><Relationship Type="http://schemas.openxmlformats.org/officeDocument/2006/relationships/hyperlink" Target="https://in.linkedin.com/in/mohit-kumar-pareek-1ba81836" TargetMode="External" Id="rId61"/><Relationship Type="http://schemas.openxmlformats.org/officeDocument/2006/relationships/hyperlink" Target="https://www.linkedin.com/company/dishman" TargetMode="External" Id="rId62"/><Relationship Type="http://schemas.openxmlformats.org/officeDocument/2006/relationships/hyperlink" Target="https://in.linkedin.com/in/rajkumar-mirajgave-57618921" TargetMode="External" Id="rId63"/><Relationship Type="http://schemas.openxmlformats.org/officeDocument/2006/relationships/hyperlink" Target="https://www.linkedin.com/company/dishman" TargetMode="External" Id="rId64"/><Relationship Type="http://schemas.openxmlformats.org/officeDocument/2006/relationships/hyperlink" Target="https://in.linkedin.com/in/manoj-madhav-25074041" TargetMode="External" Id="rId65"/><Relationship Type="http://schemas.openxmlformats.org/officeDocument/2006/relationships/hyperlink" Target="https://www.linkedin.com/company/dishman" TargetMode="External" Id="rId66"/><Relationship Type="http://schemas.openxmlformats.org/officeDocument/2006/relationships/hyperlink" Target="https://in.linkedin.com/in/mikin-chauhan-718b481b5" TargetMode="External" Id="rId67"/><Relationship Type="http://schemas.openxmlformats.org/officeDocument/2006/relationships/hyperlink" Target="https://www.linkedin.com/company/dishman" TargetMode="External" Id="rId68"/><Relationship Type="http://schemas.openxmlformats.org/officeDocument/2006/relationships/hyperlink" Target="https://in.linkedin.com/in/mayur-jethva-227b3b32" TargetMode="External" Id="rId69"/><Relationship Type="http://schemas.openxmlformats.org/officeDocument/2006/relationships/hyperlink" Target="https://www.linkedin.com/company/dishman" TargetMode="External" Id="rId70"/><Relationship Type="http://schemas.openxmlformats.org/officeDocument/2006/relationships/hyperlink" Target="https://in.linkedin.com/in/harit-shah-003168156" TargetMode="External" Id="rId71"/><Relationship Type="http://schemas.openxmlformats.org/officeDocument/2006/relationships/hyperlink" Target="https://www.linkedin.com/company/aarti-drugs-limited" TargetMode="External" Id="rId72"/><Relationship Type="http://schemas.openxmlformats.org/officeDocument/2006/relationships/hyperlink" Target="https://in.linkedin.com/in/adhishpatil" TargetMode="External" Id="rId73"/><Relationship Type="http://schemas.openxmlformats.org/officeDocument/2006/relationships/hyperlink" Target="https://www.linkedin.com/company/aarti-drugs-limited" TargetMode="External" Id="rId74"/><Relationship Type="http://schemas.openxmlformats.org/officeDocument/2006/relationships/hyperlink" Target="https://in.linkedin.com/in/anil-pandya-88a95552" TargetMode="External" Id="rId75"/><Relationship Type="http://schemas.openxmlformats.org/officeDocument/2006/relationships/hyperlink" Target="https://www.linkedin.com/company/aarti-drugs-limited" TargetMode="External" Id="rId76"/><Relationship Type="http://schemas.openxmlformats.org/officeDocument/2006/relationships/hyperlink" Target="https://in.linkedin.com/in/rashesh-gogri-8691152a" TargetMode="External" Id="rId77"/><Relationship Type="http://schemas.openxmlformats.org/officeDocument/2006/relationships/hyperlink" Target="https://www.linkedin.com/company/aarti-drugs-limited" TargetMode="External" Id="rId78"/><Relationship Type="http://schemas.openxmlformats.org/officeDocument/2006/relationships/hyperlink" Target="https://in.linkedin.com/in/harshit-savla-b21659180" TargetMode="External" Id="rId79"/><Relationship Type="http://schemas.openxmlformats.org/officeDocument/2006/relationships/hyperlink" Target="https://www.linkedin.com/company/aarti-drugs-limited" TargetMode="External" Id="rId80"/><Relationship Type="http://schemas.openxmlformats.org/officeDocument/2006/relationships/hyperlink" Target="https://in.linkedin.com/in/rushikesh-deole-86a11712b" TargetMode="External" Id="rId81"/><Relationship Type="http://schemas.openxmlformats.org/officeDocument/2006/relationships/hyperlink" Target="https://www.linkedin.com/company/aarti-drugs-limited" TargetMode="External" Id="rId82"/><Relationship Type="http://schemas.openxmlformats.org/officeDocument/2006/relationships/hyperlink" Target="https://in.linkedin.com/in/rajkamal-varshney-b24590175" TargetMode="External" Id="rId83"/><Relationship Type="http://schemas.openxmlformats.org/officeDocument/2006/relationships/hyperlink" Target="https://www.linkedin.com/company/viyash-life-sciences-pvt-ltd" TargetMode="External" Id="rId84"/><Relationship Type="http://schemas.openxmlformats.org/officeDocument/2006/relationships/hyperlink" Target="https://in.linkedin.com/in/srinivas-m-973b4817" TargetMode="External" Id="rId85"/><Relationship Type="http://schemas.openxmlformats.org/officeDocument/2006/relationships/hyperlink" Target="https://www.linkedin.com/company/viyash-life-sciences-pvt-ltd" TargetMode="External" Id="rId86"/><Relationship Type="http://schemas.openxmlformats.org/officeDocument/2006/relationships/hyperlink" Target="https://in.linkedin.com/in/dr-v-s-r-prasad-089bb115" TargetMode="External" Id="rId87"/><Relationship Type="http://schemas.openxmlformats.org/officeDocument/2006/relationships/hyperlink" Target="https://www.linkedin.com/company/viyash-life-sciences-pvt-ltd" TargetMode="External" Id="rId88"/><Relationship Type="http://schemas.openxmlformats.org/officeDocument/2006/relationships/hyperlink" Target="https://in.linkedin.com/in/srinivasarao-attanti-b2190a286" TargetMode="External" Id="rId89"/><Relationship Type="http://schemas.openxmlformats.org/officeDocument/2006/relationships/hyperlink" Target="https://www.linkedin.com/company/viyash-life-sciences-pvt-ltd" TargetMode="External" Id="rId90"/><Relationship Type="http://schemas.openxmlformats.org/officeDocument/2006/relationships/hyperlink" Target="https://in.linkedin.com/in/jagannatha-reddy-0907aa187" TargetMode="External" Id="rId91"/><Relationship Type="http://schemas.openxmlformats.org/officeDocument/2006/relationships/hyperlink" Target="https://www.linkedin.com/company/viyash-life-sciences-pvt-ltd" TargetMode="External" Id="rId92"/><Relationship Type="http://schemas.openxmlformats.org/officeDocument/2006/relationships/hyperlink" Target="https://in.linkedin.com/in/ramakant-singani-3951ab6" TargetMode="External" Id="rId93"/><Relationship Type="http://schemas.openxmlformats.org/officeDocument/2006/relationships/hyperlink" Target="https://www.linkedin.com/company/viyash-life-sciences-pvt-ltd" TargetMode="External" Id="rId94"/><Relationship Type="http://schemas.openxmlformats.org/officeDocument/2006/relationships/hyperlink" Target="https://in.linkedin.com/in/dr-pramod-kumar-36a14015" TargetMode="External" Id="rId95"/><Relationship Type="http://schemas.openxmlformats.org/officeDocument/2006/relationships/hyperlink" Target="https://www.linkedin.com/company/viyash-life-sciences-pvt-ltd" TargetMode="External" Id="rId96"/><Relationship Type="http://schemas.openxmlformats.org/officeDocument/2006/relationships/hyperlink" Target="https://in.linkedin.com/in/madan-gupta-dasari-70391390" TargetMode="External" Id="rId97"/><Relationship Type="http://schemas.openxmlformats.org/officeDocument/2006/relationships/hyperlink" Target="https://www.linkedin.com/company/viyash-life-sciences-pvt-ltd" TargetMode="External" Id="rId98"/><Relationship Type="http://schemas.openxmlformats.org/officeDocument/2006/relationships/hyperlink" Target="https://in.linkedin.com/in/sandip-shah-464663236" TargetMode="External" Id="rId99"/><Relationship Type="http://schemas.openxmlformats.org/officeDocument/2006/relationships/hyperlink" Target="https://www.linkedin.com/company/viyash-life-sciences-pvt-ltd" TargetMode="External" Id="rId100"/><Relationship Type="http://schemas.openxmlformats.org/officeDocument/2006/relationships/hyperlink" Target="https://in.linkedin.com/in/ravi-desai-8bbb8740" TargetMode="External" Id="rId101"/><Relationship Type="http://schemas.openxmlformats.org/officeDocument/2006/relationships/hyperlink" Target="https://www.linkedin.com/company/anupam-rasayan-india-ltd" TargetMode="External" Id="rId102"/><Relationship Type="http://schemas.openxmlformats.org/officeDocument/2006/relationships/hyperlink" Target="https://in.linkedin.com/in/ujvalvaishnav" TargetMode="External" Id="rId103"/><Relationship Type="http://schemas.openxmlformats.org/officeDocument/2006/relationships/hyperlink" Target="https://www.linkedin.com/company/anupam-rasayan-india-ltd" TargetMode="External" Id="rId104"/><Relationship Type="http://schemas.openxmlformats.org/officeDocument/2006/relationships/hyperlink" Target="https://in.linkedin.com/in/anand-desai-2b78b28" TargetMode="External" Id="rId105"/><Relationship Type="http://schemas.openxmlformats.org/officeDocument/2006/relationships/hyperlink" Target="https://www.linkedin.com/company/anupam-rasayan-india-ltd" TargetMode="External" Id="rId106"/><Relationship Type="http://schemas.openxmlformats.org/officeDocument/2006/relationships/hyperlink" Target="https://in.linkedin.com/in/gopal-agrawal-ba870315" TargetMode="External" Id="rId107"/><Relationship Type="http://schemas.openxmlformats.org/officeDocument/2006/relationships/hyperlink" Target="https://www.linkedin.com/company/anupam-rasayan-india-ltd" TargetMode="External" Id="rId108"/><Relationship Type="http://schemas.openxmlformats.org/officeDocument/2006/relationships/hyperlink" Target="https://in.linkedin.com/in/himanshu-bhatt-839499287" TargetMode="External" Id="rId109"/><Relationship Type="http://schemas.openxmlformats.org/officeDocument/2006/relationships/hyperlink" Target="https://www.linkedin.com/company/anupam-rasayan-india-ltd" TargetMode="External" Id="rId110"/><Relationship Type="http://schemas.openxmlformats.org/officeDocument/2006/relationships/hyperlink" Target="https://in.linkedin.com/in/praveen-rao-akkinepally-90727245" TargetMode="External" Id="rId111"/><Relationship Type="http://schemas.openxmlformats.org/officeDocument/2006/relationships/hyperlink" Target="https://www.linkedin.com/company/astrazenecaindia" TargetMode="External" Id="rId112"/><Relationship Type="http://schemas.openxmlformats.org/officeDocument/2006/relationships/hyperlink" Target="https://in.linkedin.com/in/govindrajith" TargetMode="External" Id="rId113"/><Relationship Type="http://schemas.openxmlformats.org/officeDocument/2006/relationships/hyperlink" Target="https://www.linkedin.com/company/astrazenecaindia" TargetMode="External" Id="rId114"/><Relationship Type="http://schemas.openxmlformats.org/officeDocument/2006/relationships/hyperlink" Target="https://in.linkedin.com/in/tapankumar-shah-1a5a1716" TargetMode="External" Id="rId115"/><Relationship Type="http://schemas.openxmlformats.org/officeDocument/2006/relationships/hyperlink" Target="https://www.linkedin.com/company/astrazenecaindia" TargetMode="External" Id="rId116"/><Relationship Type="http://schemas.openxmlformats.org/officeDocument/2006/relationships/hyperlink" Target="https://in.linkedin.com/in/jagannathan-sekar-7bab7a3" TargetMode="External" Id="rId117"/><Relationship Type="http://schemas.openxmlformats.org/officeDocument/2006/relationships/hyperlink" Target="https://www.linkedin.com/company/astrazenecaindia" TargetMode="External" Id="rId118"/><Relationship Type="http://schemas.openxmlformats.org/officeDocument/2006/relationships/hyperlink" Target="https://www.linkedin.com/in/dr-sanjeev-panchal-b282486" TargetMode="External" Id="rId119"/><Relationship Type="http://schemas.openxmlformats.org/officeDocument/2006/relationships/hyperlink" Target="https://www.linkedin.com/company/astrazenecaindia" TargetMode="External" Id="rId120"/><Relationship Type="http://schemas.openxmlformats.org/officeDocument/2006/relationships/hyperlink" Target="https://in.linkedin.com/in/dr-prasada-raju-v-b5073bb8" TargetMode="External" Id="rId121"/><Relationship Type="http://schemas.openxmlformats.org/officeDocument/2006/relationships/hyperlink" Target="https://www.linkedin.com/company/cohance-lifesciences" TargetMode="External" Id="rId122"/><Relationship Type="http://schemas.openxmlformats.org/officeDocument/2006/relationships/hyperlink" Target="https://in.linkedin.com/in/sharmasomesh71" TargetMode="External" Id="rId123"/><Relationship Type="http://schemas.openxmlformats.org/officeDocument/2006/relationships/hyperlink" Target="https://www.linkedin.com/company/cohance-lifesciences" TargetMode="External" Id="rId124"/><Relationship Type="http://schemas.openxmlformats.org/officeDocument/2006/relationships/hyperlink" Target="https://in.linkedin.com/in/sukhwinder-singh-0a512417" TargetMode="External" Id="rId125"/><Relationship Type="http://schemas.openxmlformats.org/officeDocument/2006/relationships/hyperlink" Target="https://www.linkedin.com/company/cohance-lifesciences" TargetMode="External" Id="rId126"/><Relationship Type="http://schemas.openxmlformats.org/officeDocument/2006/relationships/hyperlink" Target="https://in.linkedin.com/in/msnreddy-reddy-423022300" TargetMode="External" Id="rId127"/><Relationship Type="http://schemas.openxmlformats.org/officeDocument/2006/relationships/hyperlink" Target="https://www.linkedin.com/company/cohance-lifesciences" TargetMode="External" Id="rId128"/><Relationship Type="http://schemas.openxmlformats.org/officeDocument/2006/relationships/hyperlink" Target="https://in.linkedin.com/in/shravan-reddy-j-6068702b" TargetMode="External" Id="rId129"/><Relationship Type="http://schemas.openxmlformats.org/officeDocument/2006/relationships/hyperlink" Target="https://www.linkedin.com/company/cohance-lifesciences" TargetMode="External" Id="rId130"/><Relationship Type="http://schemas.openxmlformats.org/officeDocument/2006/relationships/hyperlink" Target="https://in.linkedin.com/in/vamshireddy01" TargetMode="External" Id="rId131"/><Relationship Type="http://schemas.openxmlformats.org/officeDocument/2006/relationships/hyperlink" Target="https://www.linkedin.com/company/cohance-lifesciences" TargetMode="External" Id="rId132"/><Relationship Type="http://schemas.openxmlformats.org/officeDocument/2006/relationships/hyperlink" Target="https://in.linkedin.com/in/singhgunjan" TargetMode="External" Id="rId133"/><Relationship Type="http://schemas.openxmlformats.org/officeDocument/2006/relationships/hyperlink" Target="https://www.linkedin.com/company/cohance-lifesciences" TargetMode="External" Id="rId134"/><Relationship Type="http://schemas.openxmlformats.org/officeDocument/2006/relationships/hyperlink" Target="https://in.linkedin.com/in/dr-madhusudhan-reddy-ganta-988b0520" TargetMode="External" Id="rId135"/><Relationship Type="http://schemas.openxmlformats.org/officeDocument/2006/relationships/hyperlink" Target="https://www.linkedin.com/company/cohance-lifesciences" TargetMode="External" Id="rId136"/></Relationships>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35" customWidth="1" min="1" max="1"/>
    <col width="17" customWidth="1" min="2" max="2"/>
    <col width="25" customWidth="1" min="3" max="3"/>
    <col width="16" customWidth="1" min="4" max="4"/>
    <col width="21" customWidth="1" min="5" max="5"/>
    <col width="17" customWidth="1" min="6" max="6"/>
    <col width="19" customWidth="1" min="7" max="7"/>
    <col width="60" customWidth="1" min="8" max="8"/>
    <col width="12" customWidth="1" min="9" max="9"/>
    <col width="22" customWidth="1" min="10" max="10"/>
    <col width="22" customWidth="1" min="11" max="11"/>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Location</t>
        </is>
      </c>
      <c r="H1" s="1" t="inlineStr">
        <is>
          <t>Business Summary</t>
        </is>
      </c>
      <c r="I1" s="1" t="inlineStr">
        <is>
          <t>Website</t>
        </is>
      </c>
      <c r="J1" s="1" t="inlineStr">
        <is>
          <t>LinkedIn (Verified)</t>
        </is>
      </c>
      <c r="K1" s="1" t="inlineStr">
        <is>
          <t>LinkedIn Confirmed?</t>
        </is>
      </c>
    </row>
    <row r="2">
      <c r="A2" t="inlineStr">
        <is>
          <t>AKUMS DRUGS AND PHARMA L</t>
        </is>
      </c>
      <c r="B2" t="inlineStr">
        <is>
          <t>NSE:AKUMS</t>
        </is>
      </c>
      <c r="C2" t="inlineStr">
        <is>
          <t>Biotechnology</t>
        </is>
      </c>
      <c r="D2" t="n">
        <v>43590170000</v>
      </c>
      <c r="E2" t="n">
        <v>2551880000</v>
      </c>
      <c r="F2" t="n">
        <v>7337</v>
      </c>
      <c r="G2" t="inlineStr">
        <is>
          <t>Delhi, India</t>
        </is>
      </c>
      <c r="H2" t="inlineStr">
        <is>
          <t>Akums Drugs and Pharmaceuticals Limited manufactures and sells pharmaceutical products and active pharmaceutical ingredients India and internationally. The company provides drugs, ayurvedic, nutraceuticals, food and dietary supplements, derma and cosmetics, healthcare and hospital products, over-the-counter (OTC) products, active pharmaceutical ingredients, excipients, and compounds. It also offers branded formulations on various dosage forms, including tablets, hard and soft gelatin capsules, liquid orals, sachets, vials, ampoules, form-fill-seal products, topical preparations, eye drops, dry powder injections, and gummies for therapeutic areas, such as antiinfectives, pain management, gastroenterology, orthopaedics, cardio-diabetic care, critical care, respiratory, and gynaecology. In addition, the company operates as pharmaceutical contract development and manufacturing company. Akums Drugs and Pharmaceuticals Limited was incorporated in 2004 and is based in Delhi, India.</t>
        </is>
      </c>
      <c r="I2" s="2">
        <f>HYPERLINK("https://www.akums.in", "https://www.akums.in")</f>
        <v/>
      </c>
      <c r="J2" s="2">
        <f>HYPERLINK("https://www.linkedin.com/company/akums", "https://www.linkedin.com/company/akums")</f>
        <v/>
      </c>
      <c r="K2" s="3" t="inlineStr">
        <is>
          <t>Verified</t>
        </is>
      </c>
    </row>
    <row r="3">
      <c r="A3" t="inlineStr">
        <is>
          <t>INDEGENE LIMITED</t>
        </is>
      </c>
      <c r="B3" t="inlineStr">
        <is>
          <t>NSE:INDGN</t>
        </is>
      </c>
      <c r="C3" t="inlineStr">
        <is>
          <t>Pharmaceuticals: Major</t>
        </is>
      </c>
      <c r="D3" t="n">
        <v>38128000000</v>
      </c>
      <c r="E3" t="n">
        <v>4009000000</v>
      </c>
      <c r="F3" t="n">
        <v>4687</v>
      </c>
      <c r="G3" t="inlineStr">
        <is>
          <t>Bengaluru, India</t>
        </is>
      </c>
      <c r="H3" t="inlineStr">
        <is>
          <t>Indegene Limited operates as a digital-first life sciences commercialization company in India, the United States, Europe, and internationally. It operates through three segments: Enterprise Medical Solutions, Enterprise Commercial Solutions, Omnichannel Activation &amp; Others. The company develops biotech and medical device for biopharmaceutical, emerging biotech, and medical device companies. It also offers enterprise commercial, medical, and clinical solutions; and omnichannel activation solutions. In addition, the company operates NEXT technology platforms. Further, it provides analytics, technology, commercial, medical, regulatory, and safety services to life science and healthcare organizations. Indegene Limited was incorporated in 1998 and is based in Bengaluru, India.</t>
        </is>
      </c>
      <c r="I3" s="2">
        <f>HYPERLINK("https://www.indegene.com", "https://www.indegene.com")</f>
        <v/>
      </c>
      <c r="J3" s="2">
        <f>HYPERLINK("https://www.linkedin.com/company/indegene", "https://www.linkedin.com/company/indegene")</f>
        <v/>
      </c>
      <c r="K3" s="3" t="inlineStr">
        <is>
          <t>Verified</t>
        </is>
      </c>
    </row>
    <row r="4">
      <c r="A4" t="inlineStr">
        <is>
          <t>Wockhardt Limited</t>
        </is>
      </c>
      <c r="B4" t="inlineStr">
        <is>
          <t>BSE:WOCKPHARMA</t>
        </is>
      </c>
      <c r="C4" t="inlineStr">
        <is>
          <t>Pharmaceuticals: Major</t>
        </is>
      </c>
      <c r="D4" t="n">
        <v>33730000000</v>
      </c>
      <c r="E4" t="n">
        <v>2130000000</v>
      </c>
      <c r="F4" t="n">
        <v>2564</v>
      </c>
      <c r="G4" t="inlineStr">
        <is>
          <t>Mumbai, India</t>
        </is>
      </c>
      <c r="H4" t="inlineStr">
        <is>
          <t>Wockhardt Limited, together with its subsidiaries, operates as a pharmaceutical and biotech company, in India, the United States, Europe, and internationally. It manufactures and trades pharmaceuticals, medicinal chemical, and botanical products, as well as chemicals and chemical products. The company also develops its flagship antibiotic, ZAYNICH zidebactam/cefepime, a novel beta lactam enhancer mechanism for the treatment of sepsis and hospital/ventilator associated pneumonia; FOVISCU, an antibiotic for gram-negative infections; MIQNAF nafithromycin, which targets azithromycin-resistant community respiratory pathogens; and ODRATE, a once-daily combination of ertapenem and zidebactam for resistant gram-negative infections through outpatient parenteral antimicrobial therapy. In addition, it develops and commercializes insulin analogs, glucagon-like peptide-1 agonists, and novel combination drug products; Biovac-B, a recombinant hepatitis-B vaccine; Wepox, a recombinant human erythropoietin; Wosulin, a recombinant human insulin; and Glaritus, a recombinant insulin glargine, as well as offers insulin aspart regular and biphasic drug products. Further, the company offers delivery devices for insulin, including DispoPen disposable pen and Mypen reusable pen. Wockhardt Limited was founded in 1967 and is headquartered in Mumbai, India.</t>
        </is>
      </c>
      <c r="I4" s="2">
        <f>HYPERLINK("https://www.wockhardt.com", "https://www.wockhardt.com")</f>
        <v/>
      </c>
      <c r="J4" s="2">
        <f>HYPERLINK("https://www.linkedin.com/company/wockhardt", "https://www.linkedin.com/company/wockhardt")</f>
        <v/>
      </c>
      <c r="K4" s="3" t="inlineStr">
        <is>
          <t>Verified</t>
        </is>
      </c>
    </row>
    <row r="5">
      <c r="A5" t="inlineStr">
        <is>
          <t>Marksans Pharma Limited</t>
        </is>
      </c>
      <c r="B5" t="inlineStr">
        <is>
          <t>BSE:MARKSANS</t>
        </is>
      </c>
      <c r="C5" t="inlineStr">
        <is>
          <t>Pharmaceuticals: Major</t>
        </is>
      </c>
      <c r="D5" t="n">
        <v>29509390000</v>
      </c>
      <c r="E5" t="n">
        <v>4178980000</v>
      </c>
      <c r="F5" t="n">
        <v>1840</v>
      </c>
      <c r="G5" t="inlineStr">
        <is>
          <t>Mumbai, India</t>
        </is>
      </c>
      <c r="H5" t="inlineStr">
        <is>
          <t>Marksans Pharma Limited, together with its subsidiaries, engages in the research, manufacturing, marketing, and sale of pharmaceutical formulations in the United States, North America, Europe, the United Kingdom, Australia, New Zealand, and internationally. The company offers products in the pain management, cardiovascular, central nervous system, anti-diabetic, gastrointestinal, analgesics, upper respiratory, ear care, skincare, anticancer, anti-ulcerative, anti-allergy, antiviral, dietary, cardiac, dermatology, antihistamines, anti-fungal, anti-viral, laxatives, and cold and cough therapeutic areas. Its product portfolio includes plain, enteric-coated, and film coated tablets; soft gelatin and hard capsules; oral liquids; and ointments, as well as creams and liquids. The company provides its products to supermarkets, high street retailers, pharmacy chains, and wholesalers. Marksans Pharma Limited was incorporated in 1992 and is headquartered in Mumbai, India.</t>
        </is>
      </c>
      <c r="I5" s="2">
        <f>HYPERLINK("https://marksanspharma.com", "https://marksanspharma.com")</f>
        <v/>
      </c>
      <c r="J5" s="2">
        <f>HYPERLINK("https://www.linkedin.com/company/marksans-pharma-ltd---india", "https://www.linkedin.com/company/marksans-pharma-ltd---india")</f>
        <v/>
      </c>
      <c r="K5" s="3" t="inlineStr">
        <is>
          <t>Verified</t>
        </is>
      </c>
    </row>
    <row r="6">
      <c r="A6" t="inlineStr">
        <is>
          <t>Dishman Carbogen Amcis Limited</t>
        </is>
      </c>
      <c r="B6" t="inlineStr">
        <is>
          <t>BSE:DCAL</t>
        </is>
      </c>
      <c r="C6" t="inlineStr">
        <is>
          <t>Pharmaceuticals: Major</t>
        </is>
      </c>
      <c r="D6" t="n">
        <v>29319000000</v>
      </c>
      <c r="E6" t="n">
        <v>974500000</v>
      </c>
      <c r="F6" t="inlineStr"/>
      <c r="G6" t="inlineStr">
        <is>
          <t>Ahmedabad, India</t>
        </is>
      </c>
      <c r="H6" t="inlineStr">
        <is>
          <t>Dishman Carbogen Amcis Limited provides contract research and manufacturing services for the pharmaceutical and healthcare industries worldwide. The company operates through Contract Research and Manufacturing Services and Marketable Molecules segments. It offers cholesterol and vitamin D analogs; generic active pharmaceutical ingredients for diagnostics, ophthalmic treatments, laxatives, organophosphate antidotes; ammonium, phosphonium; quats, phosphoranes, and wittig reagents; cholesterol and lanolin-related products; sterile injectables; and softgel formulations, as well as hand and body wash, sanitisers, and antiseptics. The company was founded in 1983 and is headquartered in Ahmedabad, India. Dishman Carbogen Amcis Limited is a subsidiary of Adimans Technologies LLP.</t>
        </is>
      </c>
      <c r="I6" s="2">
        <f>HYPERLINK("https://imdcal.com", "https://imdcal.com")</f>
        <v/>
      </c>
      <c r="J6" s="2">
        <f>HYPERLINK("https://www.linkedin.com/company/dishman", "https://www.linkedin.com/company/dishman")</f>
        <v/>
      </c>
      <c r="K6" s="3" t="inlineStr">
        <is>
          <t>Verified</t>
        </is>
      </c>
    </row>
    <row r="7">
      <c r="A7" t="inlineStr">
        <is>
          <t>Aarti Drugs Limited</t>
        </is>
      </c>
      <c r="B7" t="inlineStr">
        <is>
          <t>BSE:AARTIDRUGS</t>
        </is>
      </c>
      <c r="C7" t="inlineStr">
        <is>
          <t>Pharmaceuticals: Major</t>
        </is>
      </c>
      <c r="D7" t="n">
        <v>26775800000</v>
      </c>
      <c r="E7" t="n">
        <v>1911820000</v>
      </c>
      <c r="F7" t="inlineStr"/>
      <c r="G7" t="inlineStr">
        <is>
          <t>Mumbai, India</t>
        </is>
      </c>
      <c r="H7" t="inlineStr">
        <is>
          <t>Aarti Drugs Limited, through its subsidiaries, manufactures and markets active pharmaceutical ingredients (APIs), pharmaceutical intermediates, specialty chemicals, and formulations in India and internationally. The company offers aceclofenac, celecoxib, diclofenac sodium, diclodenac potassium, diclofenac diethylamine, diclofenac resinate, diclofenac epolamine, nimesulide, ciprofloxacin HCL, enrofloxacin base, gatifloxacin sesquihydrate, levofloxacin base, norfloxacin, ofloxacin, metronidazole, metronidazole benzoate, ornidazole, secnidazole, tinidazole, clopidogrel bisulphate, ticlopidine HCL, metformin HCL, pioglitazone HCL, teneligliptin, vildagliptin, fluconazole, ketoconazole, tolnaftate, zolpidem tartrate, niacin, raloxifene HCL, and acamprosate. It also provides benzene sulphonyl chloride, benzene sulphonic acid, methyl benzenesulfonate, sodium benzene sulfinate, para toluene sulphonyl chloride, methyl para toluenesulfonate, sodium para toluenesulfinate, para chlorobenzenesulfonyl chloride, formamide, calcium fluoride, potasium formate, benzenesulfonamide, ethyl p- toluenesulfonate, N,N',N'-tris-(4-toluene sulfonyl)-diethylenetriamine, ortho para toluene sulfonamides, ortho para toluene sulfonamides acid methyl ester, para chlorobenznesulfonamide, para toluenesulfonyl hydrazide, para toluenesulfonamide, and sodium benzenesulfonate. In addition, it offers pharma intermediate products, which includes Celecoxib, Ciprofloxacin, Clopidogrel, Diclofenac, Ketoconazole, Nimesulide, Raloxifene, Tinidazole, and Zolpidem. Further, the company develops drugs for antifungal, cardiovascular, and antidiabetic therapeutic areas, as well as non-steroidal anti-inflammatory drugs. The company was incorporated in 1984 and is headquartered in Mumbai, India.</t>
        </is>
      </c>
      <c r="I7" s="2">
        <f>HYPERLINK("https://www.aartidrugs.co.in", "https://www.aartidrugs.co.in")</f>
        <v/>
      </c>
      <c r="J7" s="2">
        <f>HYPERLINK("https://www.linkedin.com/company/aarti-drugs-limited", "https://www.linkedin.com/company/aarti-drugs-limited")</f>
        <v/>
      </c>
      <c r="K7" s="3" t="inlineStr">
        <is>
          <t>Verified</t>
        </is>
      </c>
    </row>
    <row r="8">
      <c r="A8" t="inlineStr">
        <is>
          <t>Viyash Scientific Limited</t>
        </is>
      </c>
      <c r="B8" t="inlineStr">
        <is>
          <t>BSE:VIYASH</t>
        </is>
      </c>
      <c r="C8" t="inlineStr">
        <is>
          <t>Pharmaceuticals: Major</t>
        </is>
      </c>
      <c r="D8" t="n">
        <v>26437800000</v>
      </c>
      <c r="E8" t="n">
        <v>1196000000</v>
      </c>
      <c r="F8" t="n">
        <v>2900</v>
      </c>
      <c r="G8" t="inlineStr">
        <is>
          <t>Hyderabad, India</t>
        </is>
      </c>
      <c r="H8" t="inlineStr">
        <is>
          <t>Viyash Scientific Limited operates as a veterinary pharmaceutical Company in India, the United States, Spain, and internationally. The company provides active pharmaceutical ingredients, finished dosage formulations, analytical services, and VET formulation services for cattle and poultry. The company was formerly known as Sequent Scientific Limited and changed its name to Viyash Scientific Limited in January 2026. The company was incorporated in 1985 and is headquartered in Hyderabad, India. Viyash Scientific Limited operates as a subsidiary of CA Harbor Investments.</t>
        </is>
      </c>
      <c r="I8" s="2">
        <f>HYPERLINK("https://www.viyash.com", "https://www.viyash.com")</f>
        <v/>
      </c>
      <c r="J8" s="2">
        <f>HYPERLINK("https://www.linkedin.com/company/viyash-life-sciences-pvt-ltd", "https://www.linkedin.com/company/viyash-life-sciences-pvt-ltd")</f>
        <v/>
      </c>
      <c r="K8" s="3" t="inlineStr">
        <is>
          <t>Verified</t>
        </is>
      </c>
    </row>
    <row r="9">
      <c r="A9" t="inlineStr">
        <is>
          <t>Anupam Rasayan India Ltd</t>
        </is>
      </c>
      <c r="B9" t="inlineStr">
        <is>
          <t>BSE:ANURAS</t>
        </is>
      </c>
      <c r="C9" t="inlineStr">
        <is>
          <t>Pharmaceuticals: Major</t>
        </is>
      </c>
      <c r="D9" t="n">
        <v>23654550000</v>
      </c>
      <c r="E9" t="n">
        <v>1701210000</v>
      </c>
      <c r="F9" t="inlineStr"/>
      <c r="G9" t="inlineStr">
        <is>
          <t>Surat, India</t>
        </is>
      </c>
      <c r="H9" t="inlineStr">
        <is>
          <t>Anupam Rasayan India Ltd engages in the custom synthesis and manufacturing of specialty chemicals in India, Europe, Japan, Singapore, China, North America, and internationally. It operates through two segments: Life Science related Specialty Chemicals and Other Specialty Chemicals. The company offers life science related specialty chemicals, such as agro intermediates and agro active ingredients for the agrochemicals industry; anti-bacterial and ultraviolet protection intermediates and ingredients for the personal care industry; and intermediates and key starting materials for active pharmaceutical ingredients. It provides other specialty chemicals used in various end-user segments, including specialty pigments, specialty dyes, and polymer additives. The company was incorporated in 1984 and is headquartered in Surat, India.</t>
        </is>
      </c>
      <c r="I9" s="2">
        <f>HYPERLINK("https://www.anupamrasayan.com", "https://www.anupamrasayan.com")</f>
        <v/>
      </c>
      <c r="J9" s="2">
        <f>HYPERLINK("https://www.linkedin.com/company/anupam-rasayan-india-ltd", "https://www.linkedin.com/company/anupam-rasayan-india-ltd")</f>
        <v/>
      </c>
      <c r="K9" s="3" t="inlineStr">
        <is>
          <t>Verified</t>
        </is>
      </c>
    </row>
    <row r="10">
      <c r="A10" t="inlineStr">
        <is>
          <t>AstraZeneca Pharma India Limited</t>
        </is>
      </c>
      <c r="B10" t="inlineStr">
        <is>
          <t>NSE:ASTRAZEN</t>
        </is>
      </c>
      <c r="C10" t="inlineStr">
        <is>
          <t>Pharmaceuticals: Major</t>
        </is>
      </c>
      <c r="D10" t="n">
        <v>22755800000</v>
      </c>
      <c r="E10" t="n">
        <v>1875200000</v>
      </c>
      <c r="F10" t="n">
        <v>760</v>
      </c>
      <c r="G10" t="inlineStr">
        <is>
          <t>Bengaluru, India</t>
        </is>
      </c>
      <c r="H10" t="inlineStr">
        <is>
          <t>AstraZeneca Pharma India Limited, a biopharmaceutical company, manufactures, markets, and trades in pharmaceutical products in India and internationally. It provides medicines for cardiovascular, renal, metabolic, and immunological conditions; oncology medicines under the TAGRISSO, Lynparza, ENHERTU, IMFINZI, and Zoladex brand names; rare diseases medicines under the Koselugo brand name; and respiratory medicines under the Symbicort and Fasenra brand names. The company also offers medicines for diabetes; and clinical trial services. The company has a strategic collaboration with Leica Biosystems and Daiichi Sankyo Company, Limited for the development of an immunohistochemistry assay and an image analysis algorithm for the TROP2 NMR biomarker in non-small cell lung cancer. The company was incorporated in 1979 and is based in Bengaluru, India. AstraZeneca Pharma India Limited is a subsidiary of AstraZeneca Pharmaceuticals AB.</t>
        </is>
      </c>
      <c r="I10" s="2">
        <f>HYPERLINK("https://www.astrazeneca.in", "https://www.astrazeneca.in")</f>
        <v/>
      </c>
      <c r="J10" s="2">
        <f>HYPERLINK("https://www.linkedin.com/company/astrazenecaindia", "https://www.linkedin.com/company/astrazenecaindia")</f>
        <v/>
      </c>
      <c r="K10" s="3" t="inlineStr">
        <is>
          <t>Verified</t>
        </is>
      </c>
    </row>
    <row r="11">
      <c r="A11" t="inlineStr">
        <is>
          <t>COHANCE LIFESCIENCES LTD</t>
        </is>
      </c>
      <c r="B11" t="inlineStr">
        <is>
          <t>NSE:COHANCE</t>
        </is>
      </c>
      <c r="C11" t="inlineStr">
        <is>
          <t>Pharmaceuticals: Major</t>
        </is>
      </c>
      <c r="D11" t="n">
        <v>22685500000</v>
      </c>
      <c r="E11" t="n">
        <v>1792300000</v>
      </c>
      <c r="F11" t="inlineStr"/>
      <c r="G11" t="inlineStr">
        <is>
          <t>Hyderabad, India</t>
        </is>
      </c>
      <c r="H11" t="inlineStr">
        <is>
          <t>Cohance Lifesciences Limited engages in the contract research, development, and manufacturing of new chemical entity (NCE) based intermediates, active pharmaceutical ingredients (API), specialty chemicals, and formulated drugs in India, the United States, Europe, and internationally. The company offers small molecule APIs, advanced intermediates, and starting materials; antibody drug conjugates; high-purity oligonucleotide building blocks comprising phosphoramidites, nucleosides, pseudouridine, NTPs, CAP reagents, GalNAc conjugates, and fluorescent dyes; pellets and finished dosage forms; and specialty chemicals, including agrochemicals. It serves pharmaceutical, biotechnology, and chemical companies. The company was formerly known as Suven Pharmaceuticals Limited and changed its name to Cohance Lifesciences Limited in May 2025. The company was founded in 1989 and is headquartered in Hyderabad, India. Cohance Lifesciences Limited is a subsidiary of Berhyanda Limited.</t>
        </is>
      </c>
      <c r="I11" s="2">
        <f>HYPERLINK("https://www.cohance.com", "https://www.cohance.com")</f>
        <v/>
      </c>
      <c r="J11" s="2">
        <f>HYPERLINK("https://www.linkedin.com/company/cohance-lifesciences", "https://www.linkedin.com/company/cohance-lifesciences")</f>
        <v/>
      </c>
      <c r="K11" s="3" t="inlineStr">
        <is>
          <t>Verified</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F97"/>
  <sheetViews>
    <sheetView showGridLines="0" workbookViewId="0">
      <selection activeCell="A1" sqref="A1"/>
    </sheetView>
  </sheetViews>
  <sheetFormatPr baseColWidth="8" defaultRowHeight="15"/>
  <cols>
    <col width="6" customWidth="1" min="1" max="1"/>
    <col width="28" customWidth="1" min="2" max="2"/>
    <col width="50" customWidth="1" min="3" max="3"/>
    <col width="45" customWidth="1" min="4" max="4"/>
    <col width="45" customWidth="1" min="5" max="5"/>
    <col width="18" customWidth="1" min="6" max="6"/>
  </cols>
  <sheetData>
    <row r="1" ht="28" customHeight="1">
      <c r="A1" s="4" t="inlineStr">
        <is>
          <t xml:space="preserve">  ▸ AKUMS DRUGS AND PHARMA L  (7 contacts)</t>
        </is>
      </c>
      <c r="B1" s="5" t="n"/>
      <c r="C1" s="5" t="n"/>
      <c r="D1" s="5" t="n"/>
      <c r="E1" s="5" t="n"/>
      <c r="F1" s="5" t="n"/>
    </row>
    <row r="2" hidden="1" outlineLevel="1">
      <c r="A2" s="6" t="inlineStr">
        <is>
          <t>#</t>
        </is>
      </c>
      <c r="B2" s="6" t="inlineStr">
        <is>
          <t>Name</t>
        </is>
      </c>
      <c r="C2" s="6" t="inlineStr">
        <is>
          <t>Position</t>
        </is>
      </c>
      <c r="D2" s="6" t="inlineStr">
        <is>
          <t>LinkedIn (Person)</t>
        </is>
      </c>
      <c r="E2" s="6" t="inlineStr">
        <is>
          <t>Company LinkedIn</t>
        </is>
      </c>
      <c r="F2" s="6" t="inlineStr">
        <is>
          <t>Location</t>
        </is>
      </c>
    </row>
    <row r="3" hidden="1" outlineLevel="1">
      <c r="A3" s="7" t="n">
        <v>1</v>
      </c>
      <c r="B3" s="8" t="inlineStr">
        <is>
          <t>Sandeep Jain</t>
        </is>
      </c>
      <c r="C3" s="8" t="inlineStr">
        <is>
          <t>Founder and Managing Director at Akums Drugs &amp; Pharmaceuticals Limited</t>
        </is>
      </c>
      <c r="D3" s="9" t="inlineStr">
        <is>
          <t>Sandeep Jain</t>
        </is>
      </c>
      <c r="E3" s="9" t="inlineStr">
        <is>
          <t>AKUMS DRUGS AND PHARMA L</t>
        </is>
      </c>
      <c r="F3" s="7" t="inlineStr">
        <is>
          <t>Delhi, India</t>
        </is>
      </c>
    </row>
    <row r="4" hidden="1" outlineLevel="1">
      <c r="A4" s="10" t="n">
        <v>2</v>
      </c>
      <c r="B4" s="11" t="inlineStr">
        <is>
          <t>Sanjeev Jain</t>
        </is>
      </c>
      <c r="C4" s="11" t="inlineStr">
        <is>
          <t>Director at Akums Drugs &amp; Pharmaceuticals Limited</t>
        </is>
      </c>
      <c r="D4" s="12" t="inlineStr">
        <is>
          <t>Sanjeev Jain</t>
        </is>
      </c>
      <c r="E4" s="12" t="inlineStr">
        <is>
          <t>AKUMS DRUGS AND PHARMA L</t>
        </is>
      </c>
      <c r="F4" s="10" t="inlineStr">
        <is>
          <t>Delhi, India</t>
        </is>
      </c>
    </row>
    <row r="5" hidden="1" outlineLevel="1">
      <c r="A5" s="7" t="n">
        <v>3</v>
      </c>
      <c r="B5" s="8" t="inlineStr">
        <is>
          <t>Arushi Jain</t>
        </is>
      </c>
      <c r="C5" s="8" t="inlineStr">
        <is>
          <t>Director at Akums Drugs | Chartered Accountant</t>
        </is>
      </c>
      <c r="D5" s="9" t="inlineStr">
        <is>
          <t>Arushi Jain</t>
        </is>
      </c>
      <c r="E5" s="9" t="inlineStr">
        <is>
          <t>AKUMS DRUGS AND PHARMA L</t>
        </is>
      </c>
      <c r="F5" s="7" t="inlineStr">
        <is>
          <t>Delhi, India</t>
        </is>
      </c>
    </row>
    <row r="6" hidden="1" outlineLevel="1">
      <c r="A6" s="10" t="n">
        <v>4</v>
      </c>
      <c r="B6" s="11" t="inlineStr">
        <is>
          <t>Manmohan Singh</t>
        </is>
      </c>
      <c r="C6" s="11" t="inlineStr">
        <is>
          <t>General Manager - Business Development at Akums Drugs</t>
        </is>
      </c>
      <c r="D6" s="12" t="inlineStr">
        <is>
          <t>Manmohan Singh</t>
        </is>
      </c>
      <c r="E6" s="12" t="inlineStr">
        <is>
          <t>AKUMS DRUGS AND PHARMA L</t>
        </is>
      </c>
      <c r="F6" s="10" t="inlineStr">
        <is>
          <t>Delhi, India</t>
        </is>
      </c>
    </row>
    <row r="7" hidden="1" outlineLevel="1">
      <c r="A7" s="7" t="n">
        <v>5</v>
      </c>
      <c r="B7" s="8" t="inlineStr">
        <is>
          <t>Arvind Srivastava</t>
        </is>
      </c>
      <c r="C7" s="8" t="inlineStr">
        <is>
          <t>President - HR at Akums Drugs &amp; Pharmaceuticals Ltd</t>
        </is>
      </c>
      <c r="D7" s="9" t="inlineStr">
        <is>
          <t>Arvind Srivastava</t>
        </is>
      </c>
      <c r="E7" s="9" t="inlineStr">
        <is>
          <t>AKUMS DRUGS AND PHARMA L</t>
        </is>
      </c>
      <c r="F7" s="7" t="inlineStr">
        <is>
          <t>Delhi, India</t>
        </is>
      </c>
    </row>
    <row r="8" hidden="1" outlineLevel="1">
      <c r="A8" s="10" t="n">
        <v>6</v>
      </c>
      <c r="B8" s="11" t="inlineStr">
        <is>
          <t>Arun Salhotra</t>
        </is>
      </c>
      <c r="C8" s="11" t="inlineStr">
        <is>
          <t>Senior Manager – New Business Development | Business Head – Pure &amp; Cure (Baddi Unit) at Akums Drugs &amp; Pharmaceuticals Ltd</t>
        </is>
      </c>
      <c r="D8" s="12" t="inlineStr">
        <is>
          <t>Arun Salhotra</t>
        </is>
      </c>
      <c r="E8" s="12" t="inlineStr">
        <is>
          <t>AKUMS DRUGS AND PHARMA L</t>
        </is>
      </c>
      <c r="F8" s="10" t="inlineStr">
        <is>
          <t>Delhi, India</t>
        </is>
      </c>
    </row>
    <row r="9" hidden="1" outlineLevel="1">
      <c r="A9" s="7" t="n">
        <v>7</v>
      </c>
      <c r="B9" s="8" t="inlineStr">
        <is>
          <t>Ashish Jain</t>
        </is>
      </c>
      <c r="C9" s="8" t="inlineStr">
        <is>
          <t>AGM, QA / Head of Quality Assurance at Akums Drugs &amp; Pharmaceuticals Ltd</t>
        </is>
      </c>
      <c r="D9" s="9" t="inlineStr">
        <is>
          <t>Ashish Jain</t>
        </is>
      </c>
      <c r="E9" s="9" t="inlineStr">
        <is>
          <t>AKUMS DRUGS AND PHARMA L</t>
        </is>
      </c>
      <c r="F9" s="7" t="inlineStr">
        <is>
          <t>Delhi, India</t>
        </is>
      </c>
    </row>
    <row r="11" ht="28" customHeight="1">
      <c r="A11" s="4" t="inlineStr">
        <is>
          <t xml:space="preserve">  ▸ INDEGENE LIMITED  (6 contacts)</t>
        </is>
      </c>
      <c r="B11" s="5" t="n"/>
      <c r="C11" s="5" t="n"/>
      <c r="D11" s="5" t="n"/>
      <c r="E11" s="5" t="n"/>
      <c r="F11" s="5" t="n"/>
    </row>
    <row r="12" hidden="1" outlineLevel="1">
      <c r="A12" s="6" t="inlineStr">
        <is>
          <t>#</t>
        </is>
      </c>
      <c r="B12" s="6" t="inlineStr">
        <is>
          <t>Name</t>
        </is>
      </c>
      <c r="C12" s="6" t="inlineStr">
        <is>
          <t>Position</t>
        </is>
      </c>
      <c r="D12" s="6" t="inlineStr">
        <is>
          <t>LinkedIn (Person)</t>
        </is>
      </c>
      <c r="E12" s="6" t="inlineStr">
        <is>
          <t>Company LinkedIn</t>
        </is>
      </c>
      <c r="F12" s="6" t="inlineStr">
        <is>
          <t>Location</t>
        </is>
      </c>
    </row>
    <row r="13" hidden="1" outlineLevel="1">
      <c r="A13" s="7" t="n">
        <v>1</v>
      </c>
      <c r="B13" s="8" t="inlineStr">
        <is>
          <t>Dr. Rajesh Nair</t>
        </is>
      </c>
      <c r="C13" s="8" t="inlineStr">
        <is>
          <t>President, Indegene</t>
        </is>
      </c>
      <c r="D13" s="9" t="inlineStr">
        <is>
          <t>Dr. Rajesh Nair</t>
        </is>
      </c>
      <c r="E13" s="9" t="inlineStr">
        <is>
          <t>INDEGENE LIMITED</t>
        </is>
      </c>
      <c r="F13" s="7" t="inlineStr">
        <is>
          <t>Bengaluru, India</t>
        </is>
      </c>
    </row>
    <row r="14" hidden="1" outlineLevel="1">
      <c r="A14" s="10" t="n">
        <v>2</v>
      </c>
      <c r="B14" s="11" t="inlineStr">
        <is>
          <t>Saurabh Jain</t>
        </is>
      </c>
      <c r="C14" s="11" t="inlineStr">
        <is>
          <t>Vice President — India Region Head &amp; Head, Global Delivery Centers</t>
        </is>
      </c>
      <c r="D14" s="12" t="inlineStr">
        <is>
          <t>Saurabh Jain</t>
        </is>
      </c>
      <c r="E14" s="12" t="inlineStr">
        <is>
          <t>INDEGENE LIMITED</t>
        </is>
      </c>
      <c r="F14" s="10" t="inlineStr">
        <is>
          <t>Bengaluru, India</t>
        </is>
      </c>
    </row>
    <row r="15" hidden="1" outlineLevel="1">
      <c r="A15" s="7" t="n">
        <v>3</v>
      </c>
      <c r="B15" s="8" t="inlineStr">
        <is>
          <t>Shouvanik Chatterjee</t>
        </is>
      </c>
      <c r="C15" s="8" t="inlineStr">
        <is>
          <t>Global Head of Corporate Development &amp; M&amp;A (Senior Vice President, Corporate Development)</t>
        </is>
      </c>
      <c r="D15" s="9" t="inlineStr">
        <is>
          <t>Shouvanik Chatterjee</t>
        </is>
      </c>
      <c r="E15" s="9" t="inlineStr">
        <is>
          <t>INDEGENE LIMITED</t>
        </is>
      </c>
      <c r="F15" s="7" t="inlineStr">
        <is>
          <t>Bengaluru, India</t>
        </is>
      </c>
    </row>
    <row r="16" hidden="1" outlineLevel="1">
      <c r="A16" s="10" t="n">
        <v>4</v>
      </c>
      <c r="B16" s="11" t="inlineStr">
        <is>
          <t>Manish Gupta</t>
        </is>
      </c>
      <c r="C16" s="11" t="inlineStr">
        <is>
          <t>Co-founder and Chief Executive Officer</t>
        </is>
      </c>
      <c r="D16" s="12" t="inlineStr">
        <is>
          <t>Manish Gupta</t>
        </is>
      </c>
      <c r="E16" s="12" t="inlineStr">
        <is>
          <t>INDEGENE LIMITED</t>
        </is>
      </c>
      <c r="F16" s="10" t="inlineStr">
        <is>
          <t>Bengaluru, India</t>
        </is>
      </c>
    </row>
    <row r="17" hidden="1" outlineLevel="1">
      <c r="A17" s="7" t="n">
        <v>5</v>
      </c>
      <c r="B17" s="8" t="inlineStr">
        <is>
          <t>Amit Gupta</t>
        </is>
      </c>
      <c r="C17" s="8" t="inlineStr">
        <is>
          <t>Head - Corporate Strategy &amp; Product</t>
        </is>
      </c>
      <c r="D17" s="9" t="inlineStr">
        <is>
          <t>Amit Gupta</t>
        </is>
      </c>
      <c r="E17" s="9" t="inlineStr">
        <is>
          <t>INDEGENE LIMITED</t>
        </is>
      </c>
      <c r="F17" s="7" t="inlineStr">
        <is>
          <t>Bengaluru, India</t>
        </is>
      </c>
    </row>
    <row r="18" hidden="1" outlineLevel="1">
      <c r="A18" s="10" t="n">
        <v>6</v>
      </c>
      <c r="B18" s="11" t="inlineStr">
        <is>
          <t>Nishanth Rao</t>
        </is>
      </c>
      <c r="C18" s="11" t="inlineStr">
        <is>
          <t>Associate Vice President, Enterprise Technology</t>
        </is>
      </c>
      <c r="D18" s="12" t="inlineStr">
        <is>
          <t>Nishanth Rao</t>
        </is>
      </c>
      <c r="E18" s="12" t="inlineStr">
        <is>
          <t>INDEGENE LIMITED</t>
        </is>
      </c>
      <c r="F18" s="10" t="inlineStr">
        <is>
          <t>Bengaluru, India</t>
        </is>
      </c>
    </row>
    <row r="20" ht="28" customHeight="1">
      <c r="A20" s="4" t="inlineStr">
        <is>
          <t xml:space="preserve">  ▸ Wockhardt Limited  (6 contacts)</t>
        </is>
      </c>
      <c r="B20" s="5" t="n"/>
      <c r="C20" s="5" t="n"/>
      <c r="D20" s="5" t="n"/>
      <c r="E20" s="5" t="n"/>
      <c r="F20" s="5" t="n"/>
    </row>
    <row r="21" hidden="1" outlineLevel="1">
      <c r="A21" s="6" t="inlineStr">
        <is>
          <t>#</t>
        </is>
      </c>
      <c r="B21" s="6" t="inlineStr">
        <is>
          <t>Name</t>
        </is>
      </c>
      <c r="C21" s="6" t="inlineStr">
        <is>
          <t>Position</t>
        </is>
      </c>
      <c r="D21" s="6" t="inlineStr">
        <is>
          <t>LinkedIn (Person)</t>
        </is>
      </c>
      <c r="E21" s="6" t="inlineStr">
        <is>
          <t>Company LinkedIn</t>
        </is>
      </c>
      <c r="F21" s="6" t="inlineStr">
        <is>
          <t>Location</t>
        </is>
      </c>
    </row>
    <row r="22" hidden="1" outlineLevel="1">
      <c r="A22" s="7" t="n">
        <v>1</v>
      </c>
      <c r="B22" s="8" t="inlineStr">
        <is>
          <t>Dr Murtaza Khorakiwala</t>
        </is>
      </c>
      <c r="C22" s="8" t="inlineStr">
        <is>
          <t>Managing Director, Wockhardt Ltd.</t>
        </is>
      </c>
      <c r="D22" s="9" t="inlineStr">
        <is>
          <t>Dr Murtaza Khorakiwala</t>
        </is>
      </c>
      <c r="E22" s="9" t="inlineStr">
        <is>
          <t>Wockhardt Limited</t>
        </is>
      </c>
      <c r="F22" s="7" t="inlineStr">
        <is>
          <t>Mumbai, India</t>
        </is>
      </c>
    </row>
    <row r="23" hidden="1" outlineLevel="1">
      <c r="A23" s="10" t="n">
        <v>2</v>
      </c>
      <c r="B23" s="11" t="inlineStr">
        <is>
          <t>Prthwijit Kundu</t>
        </is>
      </c>
      <c r="C23" s="11" t="inlineStr">
        <is>
          <t>Chief Medical Officer, NCE NDD, Wockhardt Ltd.</t>
        </is>
      </c>
      <c r="D23" s="12" t="inlineStr">
        <is>
          <t>Prthwijit Kundu</t>
        </is>
      </c>
      <c r="E23" s="12" t="inlineStr">
        <is>
          <t>Wockhardt Limited</t>
        </is>
      </c>
      <c r="F23" s="10" t="inlineStr">
        <is>
          <t>Mumbai, India</t>
        </is>
      </c>
    </row>
    <row r="24" hidden="1" outlineLevel="1">
      <c r="A24" s="7" t="n">
        <v>3</v>
      </c>
      <c r="B24" s="8" t="inlineStr">
        <is>
          <t>Dr Parag R Rindani</t>
        </is>
      </c>
      <c r="C24" s="8" t="inlineStr">
        <is>
          <t>Group CEO, Wockhardt Hospitals</t>
        </is>
      </c>
      <c r="D24" s="9" t="inlineStr">
        <is>
          <t>Dr Parag R Rindani</t>
        </is>
      </c>
      <c r="E24" s="9" t="inlineStr">
        <is>
          <t>Wockhardt Limited</t>
        </is>
      </c>
      <c r="F24" s="7" t="inlineStr">
        <is>
          <t>Mumbai, India</t>
        </is>
      </c>
    </row>
    <row r="25" hidden="1" outlineLevel="1">
      <c r="A25" s="10" t="n">
        <v>4</v>
      </c>
      <c r="B25" s="11" t="inlineStr">
        <is>
          <t>Annapurna Das</t>
        </is>
      </c>
      <c r="C25" s="11" t="inlineStr">
        <is>
          <t>President – India Business &amp; NCE Emerging Markets, Wockhardt Ltd.</t>
        </is>
      </c>
      <c r="D25" s="12" t="inlineStr">
        <is>
          <t>Annapurna Das</t>
        </is>
      </c>
      <c r="E25" s="12" t="inlineStr">
        <is>
          <t>Wockhardt Limited</t>
        </is>
      </c>
      <c r="F25" s="10" t="inlineStr">
        <is>
          <t>Mumbai, India</t>
        </is>
      </c>
    </row>
    <row r="26" hidden="1" outlineLevel="1">
      <c r="A26" s="7" t="n">
        <v>5</v>
      </c>
      <c r="B26" s="8" t="inlineStr">
        <is>
          <t>SURESH V.</t>
        </is>
      </c>
      <c r="C26" s="8" t="inlineStr">
        <is>
          <t>President - Finance</t>
        </is>
      </c>
      <c r="D26" s="9" t="inlineStr">
        <is>
          <t>SURESH V.</t>
        </is>
      </c>
      <c r="E26" s="9" t="inlineStr">
        <is>
          <t>Wockhardt Limited</t>
        </is>
      </c>
      <c r="F26" s="7" t="inlineStr">
        <is>
          <t>Mumbai, India</t>
        </is>
      </c>
    </row>
    <row r="27" hidden="1" outlineLevel="1">
      <c r="A27" s="10" t="n">
        <v>6</v>
      </c>
      <c r="B27" s="11" t="inlineStr">
        <is>
          <t>SURESH SHENOY</t>
        </is>
      </c>
      <c r="C27" s="11" t="inlineStr">
        <is>
          <t>Senior Vice President</t>
        </is>
      </c>
      <c r="D27" s="12" t="inlineStr">
        <is>
          <t>SURESH SHENOY</t>
        </is>
      </c>
      <c r="E27" s="12" t="inlineStr">
        <is>
          <t>Wockhardt Limited</t>
        </is>
      </c>
      <c r="F27" s="10" t="inlineStr">
        <is>
          <t>Mumbai, India</t>
        </is>
      </c>
    </row>
    <row r="29" ht="28" customHeight="1">
      <c r="A29" s="4" t="inlineStr">
        <is>
          <t xml:space="preserve">  ▸ Marksans Pharma Limited  (11 contacts)</t>
        </is>
      </c>
      <c r="B29" s="5" t="n"/>
      <c r="C29" s="5" t="n"/>
      <c r="D29" s="5" t="n"/>
      <c r="E29" s="5" t="n"/>
      <c r="F29" s="5" t="n"/>
    </row>
    <row r="30" hidden="1" outlineLevel="1">
      <c r="A30" s="6" t="inlineStr">
        <is>
          <t>#</t>
        </is>
      </c>
      <c r="B30" s="6" t="inlineStr">
        <is>
          <t>Name</t>
        </is>
      </c>
      <c r="C30" s="6" t="inlineStr">
        <is>
          <t>Position</t>
        </is>
      </c>
      <c r="D30" s="6" t="inlineStr">
        <is>
          <t>LinkedIn (Person)</t>
        </is>
      </c>
      <c r="E30" s="6" t="inlineStr">
        <is>
          <t>Company LinkedIn</t>
        </is>
      </c>
      <c r="F30" s="6" t="inlineStr">
        <is>
          <t>Location</t>
        </is>
      </c>
    </row>
    <row r="31" hidden="1" outlineLevel="1">
      <c r="A31" s="7" t="n">
        <v>1</v>
      </c>
      <c r="B31" s="8" t="inlineStr">
        <is>
          <t>Abhinna Sundar Mohanty</t>
        </is>
      </c>
      <c r="C31" s="8" t="inlineStr">
        <is>
          <t>Independent Director</t>
        </is>
      </c>
      <c r="D31" s="9" t="inlineStr">
        <is>
          <t>Abhinna Sundar Mohanty</t>
        </is>
      </c>
      <c r="E31" s="9" t="inlineStr">
        <is>
          <t>Marksans Pharma Limited</t>
        </is>
      </c>
      <c r="F31" s="7" t="inlineStr">
        <is>
          <t>Mumbai, India</t>
        </is>
      </c>
    </row>
    <row r="32" hidden="1" outlineLevel="1">
      <c r="A32" s="10" t="n">
        <v>2</v>
      </c>
      <c r="B32" s="11" t="inlineStr">
        <is>
          <t>Piyush Joshi</t>
        </is>
      </c>
      <c r="C32" s="11" t="inlineStr">
        <is>
          <t>Director - Analytical Research</t>
        </is>
      </c>
      <c r="D32" s="12" t="inlineStr">
        <is>
          <t>Piyush Joshi</t>
        </is>
      </c>
      <c r="E32" s="12" t="inlineStr">
        <is>
          <t>Marksans Pharma Limited</t>
        </is>
      </c>
      <c r="F32" s="10" t="inlineStr">
        <is>
          <t>Mumbai, India</t>
        </is>
      </c>
    </row>
    <row r="33" hidden="1" outlineLevel="1">
      <c r="A33" s="7" t="n">
        <v>3</v>
      </c>
      <c r="B33" s="8" t="inlineStr">
        <is>
          <t>Sunil Rane</t>
        </is>
      </c>
      <c r="C33" s="8" t="inlineStr">
        <is>
          <t>Director - Quality Control</t>
        </is>
      </c>
      <c r="D33" s="9" t="inlineStr">
        <is>
          <t>Sunil Rane</t>
        </is>
      </c>
      <c r="E33" s="9" t="inlineStr">
        <is>
          <t>Marksans Pharma Limited</t>
        </is>
      </c>
      <c r="F33" s="7" t="inlineStr">
        <is>
          <t>Mumbai, India</t>
        </is>
      </c>
    </row>
    <row r="34" hidden="1" outlineLevel="1">
      <c r="A34" s="10" t="n">
        <v>4</v>
      </c>
      <c r="B34" s="11" t="inlineStr">
        <is>
          <t>Anurag Pathak</t>
        </is>
      </c>
      <c r="C34" s="11" t="inlineStr">
        <is>
          <t>Director</t>
        </is>
      </c>
      <c r="D34" s="12" t="inlineStr">
        <is>
          <t>Anurag Pathak</t>
        </is>
      </c>
      <c r="E34" s="12" t="inlineStr">
        <is>
          <t>Marksans Pharma Limited</t>
        </is>
      </c>
      <c r="F34" s="10" t="inlineStr">
        <is>
          <t>Mumbai, India</t>
        </is>
      </c>
    </row>
    <row r="35" hidden="1" outlineLevel="1">
      <c r="A35" s="7" t="n">
        <v>5</v>
      </c>
      <c r="B35" s="8" t="inlineStr">
        <is>
          <t>Vikas Bhargava</t>
        </is>
      </c>
      <c r="C35" s="8" t="inlineStr">
        <is>
          <t>Site Director / Director - Operations (Site Head)</t>
        </is>
      </c>
      <c r="D35" s="9" t="inlineStr">
        <is>
          <t>Vikas Bhargava</t>
        </is>
      </c>
      <c r="E35" s="9" t="inlineStr">
        <is>
          <t>Marksans Pharma Limited</t>
        </is>
      </c>
      <c r="F35" s="7" t="inlineStr">
        <is>
          <t>Mumbai, India</t>
        </is>
      </c>
    </row>
    <row r="36" hidden="1" outlineLevel="1">
      <c r="A36" s="10" t="n">
        <v>6</v>
      </c>
      <c r="B36" s="11" t="inlineStr">
        <is>
          <t>Sopan Pisal</t>
        </is>
      </c>
      <c r="C36" s="11" t="inlineStr">
        <is>
          <t>Director of Quality Assurance</t>
        </is>
      </c>
      <c r="D36" s="12" t="inlineStr">
        <is>
          <t>Sopan Pisal</t>
        </is>
      </c>
      <c r="E36" s="12" t="inlineStr">
        <is>
          <t>Marksans Pharma Limited</t>
        </is>
      </c>
      <c r="F36" s="10" t="inlineStr">
        <is>
          <t>Mumbai, India</t>
        </is>
      </c>
    </row>
    <row r="37" hidden="1" outlineLevel="1">
      <c r="A37" s="7" t="n">
        <v>7</v>
      </c>
      <c r="B37" s="8" t="inlineStr">
        <is>
          <t>Chaitanya Kulkarni</t>
        </is>
      </c>
      <c r="C37" s="8" t="inlineStr">
        <is>
          <t>General Manager (leads global safety/operations)</t>
        </is>
      </c>
      <c r="D37" s="9" t="inlineStr">
        <is>
          <t>Chaitanya Kulkarni</t>
        </is>
      </c>
      <c r="E37" s="9" t="inlineStr">
        <is>
          <t>Marksans Pharma Limited</t>
        </is>
      </c>
      <c r="F37" s="7" t="inlineStr">
        <is>
          <t>Mumbai, India</t>
        </is>
      </c>
    </row>
    <row r="38" hidden="1" outlineLevel="1">
      <c r="A38" s="10" t="n">
        <v>8</v>
      </c>
      <c r="B38" s="11" t="inlineStr">
        <is>
          <t>Rudra Singh</t>
        </is>
      </c>
      <c r="C38" s="11" t="inlineStr">
        <is>
          <t>AGM - Technology Transfer (Head of Dept.)</t>
        </is>
      </c>
      <c r="D38" s="12" t="inlineStr">
        <is>
          <t>Rudra Singh</t>
        </is>
      </c>
      <c r="E38" s="12" t="inlineStr">
        <is>
          <t>Marksans Pharma Limited</t>
        </is>
      </c>
      <c r="F38" s="10" t="inlineStr">
        <is>
          <t>Mumbai, India</t>
        </is>
      </c>
    </row>
    <row r="39" hidden="1" outlineLevel="1">
      <c r="A39" s="7" t="n">
        <v>9</v>
      </c>
      <c r="B39" s="8" t="inlineStr">
        <is>
          <t>Jitendra Sharma</t>
        </is>
      </c>
      <c r="C39" s="8" t="inlineStr">
        <is>
          <t>Strategic CFO (Chief Financial Officer)</t>
        </is>
      </c>
      <c r="D39" s="9" t="inlineStr">
        <is>
          <t>Jitendra Sharma</t>
        </is>
      </c>
      <c r="E39" s="9" t="inlineStr">
        <is>
          <t>Marksans Pharma Limited</t>
        </is>
      </c>
      <c r="F39" s="7" t="inlineStr">
        <is>
          <t>Mumbai, India</t>
        </is>
      </c>
    </row>
    <row r="40" hidden="1" outlineLevel="1">
      <c r="A40" s="10" t="n">
        <v>10</v>
      </c>
      <c r="B40" s="11" t="inlineStr">
        <is>
          <t>Anjani Kumar</t>
        </is>
      </c>
      <c r="C40" s="11" t="inlineStr">
        <is>
          <t>Chief Operating Officer (COO) - Global Operations</t>
        </is>
      </c>
      <c r="D40" s="12" t="inlineStr">
        <is>
          <t>Anjani Kumar</t>
        </is>
      </c>
      <c r="E40" s="12" t="inlineStr">
        <is>
          <t>Marksans Pharma Limited</t>
        </is>
      </c>
      <c r="F40" s="10" t="inlineStr">
        <is>
          <t>Mumbai, India</t>
        </is>
      </c>
    </row>
    <row r="41" hidden="1" outlineLevel="1">
      <c r="A41" s="7" t="n">
        <v>11</v>
      </c>
      <c r="B41" s="8" t="inlineStr">
        <is>
          <t>Prashanth Kumar</t>
        </is>
      </c>
      <c r="C41" s="8" t="inlineStr">
        <is>
          <t>Procurement - Executive</t>
        </is>
      </c>
      <c r="D41" s="9" t="inlineStr">
        <is>
          <t>Prashanth Kumar</t>
        </is>
      </c>
      <c r="E41" s="9" t="inlineStr">
        <is>
          <t>Marksans Pharma Limited</t>
        </is>
      </c>
      <c r="F41" s="7" t="inlineStr">
        <is>
          <t>Mumbai, India</t>
        </is>
      </c>
    </row>
    <row r="43" ht="28" customHeight="1">
      <c r="A43" s="4" t="inlineStr">
        <is>
          <t xml:space="preserve">  ▸ Dishman Carbogen Amcis Limited  (5 contacts)</t>
        </is>
      </c>
      <c r="B43" s="5" t="n"/>
      <c r="C43" s="5" t="n"/>
      <c r="D43" s="5" t="n"/>
      <c r="E43" s="5" t="n"/>
      <c r="F43" s="5" t="n"/>
    </row>
    <row r="44" hidden="1" outlineLevel="1">
      <c r="A44" s="6" t="inlineStr">
        <is>
          <t>#</t>
        </is>
      </c>
      <c r="B44" s="6" t="inlineStr">
        <is>
          <t>Name</t>
        </is>
      </c>
      <c r="C44" s="6" t="inlineStr">
        <is>
          <t>Position</t>
        </is>
      </c>
      <c r="D44" s="6" t="inlineStr">
        <is>
          <t>LinkedIn (Person)</t>
        </is>
      </c>
      <c r="E44" s="6" t="inlineStr">
        <is>
          <t>Company LinkedIn</t>
        </is>
      </c>
      <c r="F44" s="6" t="inlineStr">
        <is>
          <t>Location</t>
        </is>
      </c>
    </row>
    <row r="45" hidden="1" outlineLevel="1">
      <c r="A45" s="7" t="n">
        <v>1</v>
      </c>
      <c r="B45" s="8" t="inlineStr">
        <is>
          <t>Mohit Kumar Pareek</t>
        </is>
      </c>
      <c r="C45" s="8" t="inlineStr">
        <is>
          <t>Head of Quality Assurance</t>
        </is>
      </c>
      <c r="D45" s="9" t="inlineStr">
        <is>
          <t>Mohit Kumar Pareek</t>
        </is>
      </c>
      <c r="E45" s="9" t="inlineStr">
        <is>
          <t>Dishman Carbogen Amcis Limited</t>
        </is>
      </c>
      <c r="F45" s="7" t="inlineStr">
        <is>
          <t>Ahmedabad, India</t>
        </is>
      </c>
    </row>
    <row r="46" hidden="1" outlineLevel="1">
      <c r="A46" s="10" t="n">
        <v>2</v>
      </c>
      <c r="B46" s="11" t="inlineStr">
        <is>
          <t>Rajkumar Mirajgave</t>
        </is>
      </c>
      <c r="C46" s="11" t="inlineStr">
        <is>
          <t>Vice President - Quality</t>
        </is>
      </c>
      <c r="D46" s="12" t="inlineStr">
        <is>
          <t>Rajkumar Mirajgave</t>
        </is>
      </c>
      <c r="E46" s="12" t="inlineStr">
        <is>
          <t>Dishman Carbogen Amcis Limited</t>
        </is>
      </c>
      <c r="F46" s="10" t="inlineStr">
        <is>
          <t>Ahmedabad, India</t>
        </is>
      </c>
    </row>
    <row r="47" hidden="1" outlineLevel="1">
      <c r="A47" s="7" t="n">
        <v>3</v>
      </c>
      <c r="B47" s="8" t="inlineStr">
        <is>
          <t>Manoj Madhav</t>
        </is>
      </c>
      <c r="C47" s="8" t="inlineStr">
        <is>
          <t>Head Of Quality Assurance</t>
        </is>
      </c>
      <c r="D47" s="9" t="inlineStr">
        <is>
          <t>Manoj Madhav</t>
        </is>
      </c>
      <c r="E47" s="9" t="inlineStr">
        <is>
          <t>Dishman Carbogen Amcis Limited</t>
        </is>
      </c>
      <c r="F47" s="7" t="inlineStr">
        <is>
          <t>Ahmedabad, India</t>
        </is>
      </c>
    </row>
    <row r="48" hidden="1" outlineLevel="1">
      <c r="A48" s="10" t="n">
        <v>4</v>
      </c>
      <c r="B48" s="11" t="inlineStr">
        <is>
          <t>Mikin Chauhan</t>
        </is>
      </c>
      <c r="C48" s="11" t="inlineStr">
        <is>
          <t>Head of Operations / Product Manager</t>
        </is>
      </c>
      <c r="D48" s="12" t="inlineStr">
        <is>
          <t>Mikin Chauhan</t>
        </is>
      </c>
      <c r="E48" s="12" t="inlineStr">
        <is>
          <t>Dishman Carbogen Amcis Limited</t>
        </is>
      </c>
      <c r="F48" s="10" t="inlineStr">
        <is>
          <t>Ahmedabad, India</t>
        </is>
      </c>
    </row>
    <row r="49" hidden="1" outlineLevel="1">
      <c r="A49" s="7" t="n">
        <v>5</v>
      </c>
      <c r="B49" s="8" t="inlineStr">
        <is>
          <t>Mayur Jethva</t>
        </is>
      </c>
      <c r="C49" s="8" t="inlineStr">
        <is>
          <t>Senior General Manager - Finance &amp; Accounts</t>
        </is>
      </c>
      <c r="D49" s="9" t="inlineStr">
        <is>
          <t>Mayur Jethva</t>
        </is>
      </c>
      <c r="E49" s="9" t="inlineStr">
        <is>
          <t>Dishman Carbogen Amcis Limited</t>
        </is>
      </c>
      <c r="F49" s="7" t="inlineStr">
        <is>
          <t>Ahmedabad, India</t>
        </is>
      </c>
    </row>
    <row r="51" ht="28" customHeight="1">
      <c r="A51" s="4" t="inlineStr">
        <is>
          <t xml:space="preserve">  ▸ Aarti Drugs Limited  (6 contacts)</t>
        </is>
      </c>
      <c r="B51" s="5" t="n"/>
      <c r="C51" s="5" t="n"/>
      <c r="D51" s="5" t="n"/>
      <c r="E51" s="5" t="n"/>
      <c r="F51" s="5" t="n"/>
    </row>
    <row r="52" hidden="1" outlineLevel="1">
      <c r="A52" s="6" t="inlineStr">
        <is>
          <t>#</t>
        </is>
      </c>
      <c r="B52" s="6" t="inlineStr">
        <is>
          <t>Name</t>
        </is>
      </c>
      <c r="C52" s="6" t="inlineStr">
        <is>
          <t>Position</t>
        </is>
      </c>
      <c r="D52" s="6" t="inlineStr">
        <is>
          <t>LinkedIn (Person)</t>
        </is>
      </c>
      <c r="E52" s="6" t="inlineStr">
        <is>
          <t>Company LinkedIn</t>
        </is>
      </c>
      <c r="F52" s="6" t="inlineStr">
        <is>
          <t>Location</t>
        </is>
      </c>
    </row>
    <row r="53" hidden="1" outlineLevel="1">
      <c r="A53" s="7" t="n">
        <v>1</v>
      </c>
      <c r="B53" s="8" t="inlineStr">
        <is>
          <t>Harit Shah</t>
        </is>
      </c>
      <c r="C53" s="8" t="inlineStr">
        <is>
          <t>Director, Aarti Drugs Ltd</t>
        </is>
      </c>
      <c r="D53" s="9" t="inlineStr">
        <is>
          <t>Harit Shah</t>
        </is>
      </c>
      <c r="E53" s="9" t="inlineStr">
        <is>
          <t>Aarti Drugs Limited</t>
        </is>
      </c>
      <c r="F53" s="7" t="inlineStr">
        <is>
          <t>Mumbai, India</t>
        </is>
      </c>
    </row>
    <row r="54" hidden="1" outlineLevel="1">
      <c r="A54" s="10" t="n">
        <v>2</v>
      </c>
      <c r="B54" s="11" t="inlineStr">
        <is>
          <t>Adhish P. Patil</t>
        </is>
      </c>
      <c r="C54" s="11" t="inlineStr">
        <is>
          <t>Chief Financial Officer, Aarti Drugs Ltd</t>
        </is>
      </c>
      <c r="D54" s="12" t="inlineStr">
        <is>
          <t>Adhish P. Patil</t>
        </is>
      </c>
      <c r="E54" s="12" t="inlineStr">
        <is>
          <t>Aarti Drugs Limited</t>
        </is>
      </c>
      <c r="F54" s="10" t="inlineStr">
        <is>
          <t>Mumbai, India</t>
        </is>
      </c>
    </row>
    <row r="55" hidden="1" outlineLevel="1">
      <c r="A55" s="7" t="n">
        <v>3</v>
      </c>
      <c r="B55" s="8" t="inlineStr">
        <is>
          <t>Anil Pandya</t>
        </is>
      </c>
      <c r="C55" s="8" t="inlineStr">
        <is>
          <t>V P (Fin &amp; Accts), Aarti Drugs Limited</t>
        </is>
      </c>
      <c r="D55" s="9" t="inlineStr">
        <is>
          <t>Anil Pandya</t>
        </is>
      </c>
      <c r="E55" s="9" t="inlineStr">
        <is>
          <t>Aarti Drugs Limited</t>
        </is>
      </c>
      <c r="F55" s="7" t="inlineStr">
        <is>
          <t>Mumbai, India</t>
        </is>
      </c>
    </row>
    <row r="56" hidden="1" outlineLevel="1">
      <c r="A56" s="10" t="n">
        <v>4</v>
      </c>
      <c r="B56" s="11" t="inlineStr">
        <is>
          <t>Rashesh Gogri</t>
        </is>
      </c>
      <c r="C56" s="11" t="inlineStr">
        <is>
          <t>Managing Director, Aarti Drugs Limited</t>
        </is>
      </c>
      <c r="D56" s="12" t="inlineStr">
        <is>
          <t>Rashesh Gogri</t>
        </is>
      </c>
      <c r="E56" s="12" t="inlineStr">
        <is>
          <t>Aarti Drugs Limited</t>
        </is>
      </c>
      <c r="F56" s="10" t="inlineStr">
        <is>
          <t>Mumbai, India</t>
        </is>
      </c>
    </row>
    <row r="57" hidden="1" outlineLevel="1">
      <c r="A57" s="7" t="n">
        <v>5</v>
      </c>
      <c r="B57" s="8" t="inlineStr">
        <is>
          <t>Harshit Savla</t>
        </is>
      </c>
      <c r="C57" s="8" t="inlineStr">
        <is>
          <t>Joint Managing Director, Aarti Drugs Limited</t>
        </is>
      </c>
      <c r="D57" s="9" t="inlineStr">
        <is>
          <t>Harshit Savla</t>
        </is>
      </c>
      <c r="E57" s="9" t="inlineStr">
        <is>
          <t>Aarti Drugs Limited</t>
        </is>
      </c>
      <c r="F57" s="7" t="inlineStr">
        <is>
          <t>Mumbai, India</t>
        </is>
      </c>
    </row>
    <row r="58" hidden="1" outlineLevel="1">
      <c r="A58" s="10" t="n">
        <v>6</v>
      </c>
      <c r="B58" s="11" t="inlineStr">
        <is>
          <t>Rushikesh Deole</t>
        </is>
      </c>
      <c r="C58" s="11" t="inlineStr">
        <is>
          <t>Company Secretary and Compliance Officer, Aarti Drugs Limited</t>
        </is>
      </c>
      <c r="D58" s="12" t="inlineStr">
        <is>
          <t>Rushikesh Deole</t>
        </is>
      </c>
      <c r="E58" s="12" t="inlineStr">
        <is>
          <t>Aarti Drugs Limited</t>
        </is>
      </c>
      <c r="F58" s="10" t="inlineStr">
        <is>
          <t>Mumbai, India</t>
        </is>
      </c>
    </row>
    <row r="60" ht="28" customHeight="1">
      <c r="A60" s="4" t="inlineStr">
        <is>
          <t xml:space="preserve">  ▸ Viyash Scientific Limited  (9 contacts)</t>
        </is>
      </c>
      <c r="B60" s="5" t="n"/>
      <c r="C60" s="5" t="n"/>
      <c r="D60" s="5" t="n"/>
      <c r="E60" s="5" t="n"/>
      <c r="F60" s="5" t="n"/>
    </row>
    <row r="61" hidden="1" outlineLevel="1">
      <c r="A61" s="6" t="inlineStr">
        <is>
          <t>#</t>
        </is>
      </c>
      <c r="B61" s="6" t="inlineStr">
        <is>
          <t>Name</t>
        </is>
      </c>
      <c r="C61" s="6" t="inlineStr">
        <is>
          <t>Position</t>
        </is>
      </c>
      <c r="D61" s="6" t="inlineStr">
        <is>
          <t>LinkedIn (Person)</t>
        </is>
      </c>
      <c r="E61" s="6" t="inlineStr">
        <is>
          <t>Company LinkedIn</t>
        </is>
      </c>
      <c r="F61" s="6" t="inlineStr">
        <is>
          <t>Location</t>
        </is>
      </c>
    </row>
    <row r="62" hidden="1" outlineLevel="1">
      <c r="A62" s="7" t="n">
        <v>1</v>
      </c>
      <c r="B62" s="8" t="inlineStr">
        <is>
          <t>Rajkamal Varshney</t>
        </is>
      </c>
      <c r="C62" s="8" t="inlineStr">
        <is>
          <t>Senior Vice President - Marketing &amp; Business Development</t>
        </is>
      </c>
      <c r="D62" s="9" t="inlineStr">
        <is>
          <t>Rajkamal Varshney</t>
        </is>
      </c>
      <c r="E62" s="9" t="inlineStr">
        <is>
          <t>Viyash Scientific Limited</t>
        </is>
      </c>
      <c r="F62" s="7" t="inlineStr">
        <is>
          <t>Hyderabad, India</t>
        </is>
      </c>
    </row>
    <row r="63" hidden="1" outlineLevel="1">
      <c r="A63" s="10" t="n">
        <v>2</v>
      </c>
      <c r="B63" s="11" t="inlineStr">
        <is>
          <t>Srinivas M</t>
        </is>
      </c>
      <c r="C63" s="11" t="inlineStr">
        <is>
          <t>Head - Human Resources (Viyash Life Sciences)</t>
        </is>
      </c>
      <c r="D63" s="12" t="inlineStr">
        <is>
          <t>Srinivas M</t>
        </is>
      </c>
      <c r="E63" s="12" t="inlineStr">
        <is>
          <t>Viyash Scientific Limited</t>
        </is>
      </c>
      <c r="F63" s="10" t="inlineStr">
        <is>
          <t>Hyderabad, India</t>
        </is>
      </c>
    </row>
    <row r="64" hidden="1" outlineLevel="1">
      <c r="A64" s="7" t="n">
        <v>3</v>
      </c>
      <c r="B64" s="8" t="inlineStr">
        <is>
          <t>Dr. V.S.R. Prasad</t>
        </is>
      </c>
      <c r="C64" s="8" t="inlineStr">
        <is>
          <t>Head - Tech Transfer &amp; Process Development</t>
        </is>
      </c>
      <c r="D64" s="9" t="inlineStr">
        <is>
          <t>Dr. V.S.R. Prasad</t>
        </is>
      </c>
      <c r="E64" s="9" t="inlineStr">
        <is>
          <t>Viyash Scientific Limited</t>
        </is>
      </c>
      <c r="F64" s="7" t="inlineStr">
        <is>
          <t>Hyderabad, India</t>
        </is>
      </c>
    </row>
    <row r="65" hidden="1" outlineLevel="1">
      <c r="A65" s="10" t="n">
        <v>4</v>
      </c>
      <c r="B65" s="11" t="inlineStr">
        <is>
          <t>Srinivasarao Attanti</t>
        </is>
      </c>
      <c r="C65" s="11" t="inlineStr">
        <is>
          <t>Vice President (Viyash Life Sciences)</t>
        </is>
      </c>
      <c r="D65" s="12" t="inlineStr">
        <is>
          <t>Srinivasarao Attanti</t>
        </is>
      </c>
      <c r="E65" s="12" t="inlineStr">
        <is>
          <t>Viyash Scientific Limited</t>
        </is>
      </c>
      <c r="F65" s="10" t="inlineStr">
        <is>
          <t>Hyderabad, India</t>
        </is>
      </c>
    </row>
    <row r="66" hidden="1" outlineLevel="1">
      <c r="A66" s="7" t="n">
        <v>5</v>
      </c>
      <c r="B66" s="8" t="inlineStr">
        <is>
          <t>Jagannatha Reddy</t>
        </is>
      </c>
      <c r="C66" s="8" t="inlineStr">
        <is>
          <t>Senior Vice President - Head SCM, Viyash Life Sciences Pvt Ltd</t>
        </is>
      </c>
      <c r="D66" s="9" t="inlineStr">
        <is>
          <t>Jagannatha Reddy</t>
        </is>
      </c>
      <c r="E66" s="9" t="inlineStr">
        <is>
          <t>Viyash Scientific Limited</t>
        </is>
      </c>
      <c r="F66" s="7" t="inlineStr">
        <is>
          <t>Hyderabad, India</t>
        </is>
      </c>
    </row>
    <row r="67" hidden="1" outlineLevel="1">
      <c r="A67" s="10" t="n">
        <v>6</v>
      </c>
      <c r="B67" s="11" t="inlineStr">
        <is>
          <t>Ramakant Singani</t>
        </is>
      </c>
      <c r="C67" s="11" t="inlineStr">
        <is>
          <t>CFO / Chief Financial Officer, Viyash Life Sciences / Viyash Scientific Ltd</t>
        </is>
      </c>
      <c r="D67" s="12" t="inlineStr">
        <is>
          <t>Ramakant Singani</t>
        </is>
      </c>
      <c r="E67" s="12" t="inlineStr">
        <is>
          <t>Viyash Scientific Limited</t>
        </is>
      </c>
      <c r="F67" s="10" t="inlineStr">
        <is>
          <t>Hyderabad, India</t>
        </is>
      </c>
    </row>
    <row r="68" hidden="1" outlineLevel="1">
      <c r="A68" s="7" t="n">
        <v>7</v>
      </c>
      <c r="B68" s="8" t="inlineStr">
        <is>
          <t>Dr. Pramod Kumar</t>
        </is>
      </c>
      <c r="C68" s="8" t="inlineStr">
        <is>
          <t>Head API R&amp;D, Viyash Life Sciences</t>
        </is>
      </c>
      <c r="D68" s="9" t="inlineStr">
        <is>
          <t>Dr. Pramod Kumar</t>
        </is>
      </c>
      <c r="E68" s="9" t="inlineStr">
        <is>
          <t>Viyash Scientific Limited</t>
        </is>
      </c>
      <c r="F68" s="7" t="inlineStr">
        <is>
          <t>Hyderabad, India</t>
        </is>
      </c>
    </row>
    <row r="69" hidden="1" outlineLevel="1">
      <c r="A69" s="10" t="n">
        <v>8</v>
      </c>
      <c r="B69" s="11" t="inlineStr">
        <is>
          <t>Madan Gupta Dasari</t>
        </is>
      </c>
      <c r="C69" s="11" t="inlineStr">
        <is>
          <t>Deputy General Manager, Viyash Life Science (API)</t>
        </is>
      </c>
      <c r="D69" s="12" t="inlineStr">
        <is>
          <t>Madan Gupta Dasari</t>
        </is>
      </c>
      <c r="E69" s="12" t="inlineStr">
        <is>
          <t>Viyash Scientific Limited</t>
        </is>
      </c>
      <c r="F69" s="10" t="inlineStr">
        <is>
          <t>Hyderabad, India</t>
        </is>
      </c>
    </row>
    <row r="70" hidden="1" outlineLevel="1">
      <c r="A70" s="7" t="n">
        <v>9</v>
      </c>
      <c r="B70" s="8" t="inlineStr">
        <is>
          <t>Sandip Shah</t>
        </is>
      </c>
      <c r="C70" s="8" t="inlineStr">
        <is>
          <t>Site Head, Viyash Life Sciences Pvt Ltd</t>
        </is>
      </c>
      <c r="D70" s="9" t="inlineStr">
        <is>
          <t>Sandip Shah</t>
        </is>
      </c>
      <c r="E70" s="9" t="inlineStr">
        <is>
          <t>Viyash Scientific Limited</t>
        </is>
      </c>
      <c r="F70" s="7" t="inlineStr">
        <is>
          <t>Hyderabad, India</t>
        </is>
      </c>
    </row>
    <row r="72" ht="28" customHeight="1">
      <c r="A72" s="4" t="inlineStr">
        <is>
          <t xml:space="preserve">  ▸ Anupam Rasayan India Ltd  (5 contacts)</t>
        </is>
      </c>
      <c r="B72" s="5" t="n"/>
      <c r="C72" s="5" t="n"/>
      <c r="D72" s="5" t="n"/>
      <c r="E72" s="5" t="n"/>
      <c r="F72" s="5" t="n"/>
    </row>
    <row r="73" hidden="1" outlineLevel="1">
      <c r="A73" s="6" t="inlineStr">
        <is>
          <t>#</t>
        </is>
      </c>
      <c r="B73" s="6" t="inlineStr">
        <is>
          <t>Name</t>
        </is>
      </c>
      <c r="C73" s="6" t="inlineStr">
        <is>
          <t>Position</t>
        </is>
      </c>
      <c r="D73" s="6" t="inlineStr">
        <is>
          <t>LinkedIn (Person)</t>
        </is>
      </c>
      <c r="E73" s="6" t="inlineStr">
        <is>
          <t>Company LinkedIn</t>
        </is>
      </c>
      <c r="F73" s="6" t="inlineStr">
        <is>
          <t>Location</t>
        </is>
      </c>
    </row>
    <row r="74" hidden="1" outlineLevel="1">
      <c r="A74" s="7" t="n">
        <v>1</v>
      </c>
      <c r="B74" s="8" t="inlineStr">
        <is>
          <t>Ravi Desai</t>
        </is>
      </c>
      <c r="C74" s="8" t="inlineStr">
        <is>
          <t>Head - Sales &amp; Marketing (Head of Global Sales &amp; Marketing)</t>
        </is>
      </c>
      <c r="D74" s="9" t="inlineStr">
        <is>
          <t>Ravi Desai</t>
        </is>
      </c>
      <c r="E74" s="9" t="inlineStr">
        <is>
          <t>Anupam Rasayan India Ltd</t>
        </is>
      </c>
      <c r="F74" s="7" t="inlineStr">
        <is>
          <t>Surat, India</t>
        </is>
      </c>
    </row>
    <row r="75" hidden="1" outlineLevel="1">
      <c r="A75" s="10" t="n">
        <v>2</v>
      </c>
      <c r="B75" s="11" t="inlineStr">
        <is>
          <t>Dr. Ujval Vaishnav</t>
        </is>
      </c>
      <c r="C75" s="11" t="inlineStr">
        <is>
          <t>President - Business Development</t>
        </is>
      </c>
      <c r="D75" s="12" t="inlineStr">
        <is>
          <t>Dr. Ujval Vaishnav</t>
        </is>
      </c>
      <c r="E75" s="12" t="inlineStr">
        <is>
          <t>Anupam Rasayan India Ltd</t>
        </is>
      </c>
      <c r="F75" s="10" t="inlineStr">
        <is>
          <t>Surat, India</t>
        </is>
      </c>
    </row>
    <row r="76" hidden="1" outlineLevel="1">
      <c r="A76" s="7" t="n">
        <v>3</v>
      </c>
      <c r="B76" s="8" t="inlineStr">
        <is>
          <t>Anand Desai</t>
        </is>
      </c>
      <c r="C76" s="8" t="inlineStr">
        <is>
          <t>Managing Director</t>
        </is>
      </c>
      <c r="D76" s="9" t="inlineStr">
        <is>
          <t>Anand Desai</t>
        </is>
      </c>
      <c r="E76" s="9" t="inlineStr">
        <is>
          <t>Anupam Rasayan India Ltd</t>
        </is>
      </c>
      <c r="F76" s="7" t="inlineStr">
        <is>
          <t>Surat, India</t>
        </is>
      </c>
    </row>
    <row r="77" hidden="1" outlineLevel="1">
      <c r="A77" s="10" t="n">
        <v>4</v>
      </c>
      <c r="B77" s="11" t="inlineStr">
        <is>
          <t>Gopal Agrawal</t>
        </is>
      </c>
      <c r="C77" s="11" t="inlineStr">
        <is>
          <t>Chief Executive Officer - Anupam Rasayan India Ltd.</t>
        </is>
      </c>
      <c r="D77" s="12" t="inlineStr">
        <is>
          <t>Gopal Agrawal</t>
        </is>
      </c>
      <c r="E77" s="12" t="inlineStr">
        <is>
          <t>Anupam Rasayan India Ltd</t>
        </is>
      </c>
      <c r="F77" s="10" t="inlineStr">
        <is>
          <t>Surat, India</t>
        </is>
      </c>
    </row>
    <row r="78" hidden="1" outlineLevel="1">
      <c r="A78" s="7" t="n">
        <v>5</v>
      </c>
      <c r="B78" s="8" t="inlineStr">
        <is>
          <t>Himanshu Bhatt</t>
        </is>
      </c>
      <c r="C78" s="8" t="inlineStr">
        <is>
          <t>President - Projects, Anupam Rasayan India Ltd.</t>
        </is>
      </c>
      <c r="D78" s="9" t="inlineStr">
        <is>
          <t>Himanshu Bhatt</t>
        </is>
      </c>
      <c r="E78" s="9" t="inlineStr">
        <is>
          <t>Anupam Rasayan India Ltd</t>
        </is>
      </c>
      <c r="F78" s="7" t="inlineStr">
        <is>
          <t>Surat, India</t>
        </is>
      </c>
    </row>
    <row r="80" ht="28" customHeight="1">
      <c r="A80" s="4" t="inlineStr">
        <is>
          <t xml:space="preserve">  ▸ AstraZeneca Pharma India Limited  (5 contacts)</t>
        </is>
      </c>
      <c r="B80" s="5" t="n"/>
      <c r="C80" s="5" t="n"/>
      <c r="D80" s="5" t="n"/>
      <c r="E80" s="5" t="n"/>
      <c r="F80" s="5" t="n"/>
    </row>
    <row r="81" hidden="1" outlineLevel="1">
      <c r="A81" s="6" t="inlineStr">
        <is>
          <t>#</t>
        </is>
      </c>
      <c r="B81" s="6" t="inlineStr">
        <is>
          <t>Name</t>
        </is>
      </c>
      <c r="C81" s="6" t="inlineStr">
        <is>
          <t>Position</t>
        </is>
      </c>
      <c r="D81" s="6" t="inlineStr">
        <is>
          <t>LinkedIn (Person)</t>
        </is>
      </c>
      <c r="E81" s="6" t="inlineStr">
        <is>
          <t>Company LinkedIn</t>
        </is>
      </c>
      <c r="F81" s="6" t="inlineStr">
        <is>
          <t>Location</t>
        </is>
      </c>
    </row>
    <row r="82" hidden="1" outlineLevel="1">
      <c r="A82" s="7" t="n">
        <v>1</v>
      </c>
      <c r="B82" s="8" t="inlineStr">
        <is>
          <t>Praveen Rao Akkinepally</t>
        </is>
      </c>
      <c r="C82" s="8" t="inlineStr">
        <is>
          <t>Country President &amp; Managing Director, AstraZeneca India</t>
        </is>
      </c>
      <c r="D82" s="9" t="inlineStr">
        <is>
          <t>Praveen Rao Akkinepally</t>
        </is>
      </c>
      <c r="E82" s="9" t="inlineStr">
        <is>
          <t>AstraZeneca Pharma India Limited</t>
        </is>
      </c>
      <c r="F82" s="7" t="inlineStr">
        <is>
          <t>Bengaluru, India</t>
        </is>
      </c>
    </row>
    <row r="83" hidden="1" outlineLevel="1">
      <c r="A83" s="10" t="n">
        <v>2</v>
      </c>
      <c r="B83" s="11" t="inlineStr">
        <is>
          <t>Govind Rajith Cheramkalam</t>
        </is>
      </c>
      <c r="C83" s="11" t="inlineStr">
        <is>
          <t>Senior Director @ AstraZeneca | GBS India Representative | Global Data Office</t>
        </is>
      </c>
      <c r="D83" s="12" t="inlineStr">
        <is>
          <t>Govind Rajith Cheramkalam</t>
        </is>
      </c>
      <c r="E83" s="12" t="inlineStr">
        <is>
          <t>AstraZeneca Pharma India Limited</t>
        </is>
      </c>
      <c r="F83" s="10" t="inlineStr">
        <is>
          <t>Bengaluru, India</t>
        </is>
      </c>
    </row>
    <row r="84" hidden="1" outlineLevel="1">
      <c r="A84" s="7" t="n">
        <v>3</v>
      </c>
      <c r="B84" s="8" t="inlineStr">
        <is>
          <t>Tapankumar Shah</t>
        </is>
      </c>
      <c r="C84" s="8" t="inlineStr">
        <is>
          <t>Senior Director | AstraZeneca | Clinical Operations | Asia Area Cluster Head</t>
        </is>
      </c>
      <c r="D84" s="9" t="inlineStr">
        <is>
          <t>Tapankumar Shah</t>
        </is>
      </c>
      <c r="E84" s="9" t="inlineStr">
        <is>
          <t>AstraZeneca Pharma India Limited</t>
        </is>
      </c>
      <c r="F84" s="7" t="inlineStr">
        <is>
          <t>Bengaluru, India</t>
        </is>
      </c>
    </row>
    <row r="85" hidden="1" outlineLevel="1">
      <c r="A85" s="10" t="n">
        <v>4</v>
      </c>
      <c r="B85" s="11" t="inlineStr">
        <is>
          <t>Jagannathan Sekar</t>
        </is>
      </c>
      <c r="C85" s="11" t="inlineStr">
        <is>
          <t>HR Services Director - APAC</t>
        </is>
      </c>
      <c r="D85" s="12" t="inlineStr">
        <is>
          <t>Jagannathan Sekar</t>
        </is>
      </c>
      <c r="E85" s="12" t="inlineStr">
        <is>
          <t>AstraZeneca Pharma India Limited</t>
        </is>
      </c>
      <c r="F85" s="10" t="inlineStr">
        <is>
          <t>Bengaluru, India</t>
        </is>
      </c>
    </row>
    <row r="86" hidden="1" outlineLevel="1">
      <c r="A86" s="7" t="n">
        <v>5</v>
      </c>
      <c r="B86" s="8" t="inlineStr">
        <is>
          <t>Dr. Sanjeev Panchal</t>
        </is>
      </c>
      <c r="C86" s="8" t="inlineStr">
        <is>
          <t>Country President and Managing Director, AstraZeneca Pharma India Ltd</t>
        </is>
      </c>
      <c r="D86" s="9" t="inlineStr">
        <is>
          <t>Dr. Sanjeev Panchal</t>
        </is>
      </c>
      <c r="E86" s="9" t="inlineStr">
        <is>
          <t>AstraZeneca Pharma India Limited</t>
        </is>
      </c>
      <c r="F86" s="7" t="inlineStr">
        <is>
          <t>Bengaluru, India</t>
        </is>
      </c>
    </row>
    <row r="88" ht="28" customHeight="1">
      <c r="A88" s="4" t="inlineStr">
        <is>
          <t xml:space="preserve">  ▸ COHANCE LIFESCIENCES LTD  (8 contacts)</t>
        </is>
      </c>
      <c r="B88" s="5" t="n"/>
      <c r="C88" s="5" t="n"/>
      <c r="D88" s="5" t="n"/>
      <c r="E88" s="5" t="n"/>
      <c r="F88" s="5" t="n"/>
    </row>
    <row r="89" hidden="1" outlineLevel="1">
      <c r="A89" s="6" t="inlineStr">
        <is>
          <t>#</t>
        </is>
      </c>
      <c r="B89" s="6" t="inlineStr">
        <is>
          <t>Name</t>
        </is>
      </c>
      <c r="C89" s="6" t="inlineStr">
        <is>
          <t>Position</t>
        </is>
      </c>
      <c r="D89" s="6" t="inlineStr">
        <is>
          <t>LinkedIn (Person)</t>
        </is>
      </c>
      <c r="E89" s="6" t="inlineStr">
        <is>
          <t>Company LinkedIn</t>
        </is>
      </c>
      <c r="F89" s="6" t="inlineStr">
        <is>
          <t>Location</t>
        </is>
      </c>
    </row>
    <row r="90" hidden="1" outlineLevel="1">
      <c r="A90" s="7" t="n">
        <v>1</v>
      </c>
      <c r="B90" s="8" t="inlineStr">
        <is>
          <t>Dr. Prasada Raju V</t>
        </is>
      </c>
      <c r="C90" s="8" t="inlineStr">
        <is>
          <t>Managing Director &amp; CEO, Cohance Lifesciences</t>
        </is>
      </c>
      <c r="D90" s="9" t="inlineStr">
        <is>
          <t>Dr. Prasada Raju V</t>
        </is>
      </c>
      <c r="E90" s="9" t="inlineStr">
        <is>
          <t>COHANCE LIFESCIENCES LTD</t>
        </is>
      </c>
      <c r="F90" s="7" t="inlineStr">
        <is>
          <t>Hyderabad, India</t>
        </is>
      </c>
    </row>
    <row r="91" hidden="1" outlineLevel="1">
      <c r="A91" s="10" t="n">
        <v>2</v>
      </c>
      <c r="B91" s="11" t="inlineStr">
        <is>
          <t>Somesh Sharma, PhD, MBA</t>
        </is>
      </c>
      <c r="C91" s="11" t="inlineStr">
        <is>
          <t>Chief Operating Officer, Cohance Lifesciences</t>
        </is>
      </c>
      <c r="D91" s="12" t="inlineStr">
        <is>
          <t>Somesh Sharma, PhD, MBA</t>
        </is>
      </c>
      <c r="E91" s="12" t="inlineStr">
        <is>
          <t>COHANCE LIFESCIENCES LTD</t>
        </is>
      </c>
      <c r="F91" s="10" t="inlineStr">
        <is>
          <t>Hyderabad, India</t>
        </is>
      </c>
    </row>
    <row r="92" hidden="1" outlineLevel="1">
      <c r="A92" s="7" t="n">
        <v>3</v>
      </c>
      <c r="B92" s="8" t="inlineStr">
        <is>
          <t>Sukhwinder Singh</t>
        </is>
      </c>
      <c r="C92" s="8" t="inlineStr">
        <is>
          <t>Vice President - Quality (API &amp; Formulations), Cohance Lifesciences</t>
        </is>
      </c>
      <c r="D92" s="9" t="inlineStr">
        <is>
          <t>Sukhwinder Singh</t>
        </is>
      </c>
      <c r="E92" s="9" t="inlineStr">
        <is>
          <t>COHANCE LIFESCIENCES LTD</t>
        </is>
      </c>
      <c r="F92" s="7" t="inlineStr">
        <is>
          <t>Hyderabad, India</t>
        </is>
      </c>
    </row>
    <row r="93" hidden="1" outlineLevel="1">
      <c r="A93" s="10" t="n">
        <v>4</v>
      </c>
      <c r="B93" s="11" t="inlineStr">
        <is>
          <t>MSN Reddy</t>
        </is>
      </c>
      <c r="C93" s="11" t="inlineStr">
        <is>
          <t>President of Operations, Cohance Lifesciences</t>
        </is>
      </c>
      <c r="D93" s="12" t="inlineStr">
        <is>
          <t>MSN Reddy</t>
        </is>
      </c>
      <c r="E93" s="12" t="inlineStr">
        <is>
          <t>COHANCE LIFESCIENCES LTD</t>
        </is>
      </c>
      <c r="F93" s="10" t="inlineStr">
        <is>
          <t>Hyderabad, India</t>
        </is>
      </c>
    </row>
    <row r="94" hidden="1" outlineLevel="1">
      <c r="A94" s="7" t="n">
        <v>5</v>
      </c>
      <c r="B94" s="8" t="inlineStr">
        <is>
          <t>Shravan Reddy J</t>
        </is>
      </c>
      <c r="C94" s="8" t="inlineStr">
        <is>
          <t>Chief Operating Officer - CDMO, Cohance Lifesciences</t>
        </is>
      </c>
      <c r="D94" s="9" t="inlineStr">
        <is>
          <t>Shravan Reddy J</t>
        </is>
      </c>
      <c r="E94" s="9" t="inlineStr">
        <is>
          <t>COHANCE LIFESCIENCES LTD</t>
        </is>
      </c>
      <c r="F94" s="7" t="inlineStr">
        <is>
          <t>Hyderabad, India</t>
        </is>
      </c>
    </row>
    <row r="95" hidden="1" outlineLevel="1">
      <c r="A95" s="10" t="n">
        <v>6</v>
      </c>
      <c r="B95" s="11" t="inlineStr">
        <is>
          <t>Vamshi Reddy</t>
        </is>
      </c>
      <c r="C95" s="11" t="inlineStr">
        <is>
          <t>Head - Talent Acquisition, Cohance Lifesciences</t>
        </is>
      </c>
      <c r="D95" s="12" t="inlineStr">
        <is>
          <t>Vamshi Reddy</t>
        </is>
      </c>
      <c r="E95" s="12" t="inlineStr">
        <is>
          <t>COHANCE LIFESCIENCES LTD</t>
        </is>
      </c>
      <c r="F95" s="10" t="inlineStr">
        <is>
          <t>Hyderabad, India</t>
        </is>
      </c>
    </row>
    <row r="96" hidden="1" outlineLevel="1">
      <c r="A96" s="7" t="n">
        <v>7</v>
      </c>
      <c r="B96" s="8" t="inlineStr">
        <is>
          <t>Gunjan Singh</t>
        </is>
      </c>
      <c r="C96" s="8" t="inlineStr">
        <is>
          <t>CEO - API Plus Business, Cohance Lifesciences</t>
        </is>
      </c>
      <c r="D96" s="9" t="inlineStr">
        <is>
          <t>Gunjan Singh</t>
        </is>
      </c>
      <c r="E96" s="9" t="inlineStr">
        <is>
          <t>COHANCE LIFESCIENCES LTD</t>
        </is>
      </c>
      <c r="F96" s="7" t="inlineStr">
        <is>
          <t>Hyderabad, India</t>
        </is>
      </c>
    </row>
    <row r="97" hidden="1" outlineLevel="1">
      <c r="A97" s="10" t="n">
        <v>8</v>
      </c>
      <c r="B97" s="11" t="inlineStr">
        <is>
          <t>Dr. Madhusudhan Reddy Ganta</t>
        </is>
      </c>
      <c r="C97" s="11" t="inlineStr">
        <is>
          <t>Associate Vice President, API R&amp;D, Cohance Lifesciences</t>
        </is>
      </c>
      <c r="D97" s="12" t="inlineStr">
        <is>
          <t>Dr. Madhusudhan Reddy Ganta</t>
        </is>
      </c>
      <c r="E97" s="12" t="inlineStr">
        <is>
          <t>COHANCE LIFESCIENCES LTD</t>
        </is>
      </c>
      <c r="F97" s="10" t="inlineStr">
        <is>
          <t>Hyderabad, India</t>
        </is>
      </c>
    </row>
  </sheetData>
  <mergeCells count="10">
    <mergeCell ref="A11:F11"/>
    <mergeCell ref="A51:F51"/>
    <mergeCell ref="A60:F60"/>
    <mergeCell ref="A1:F1"/>
    <mergeCell ref="A80:F80"/>
    <mergeCell ref="A88:F88"/>
    <mergeCell ref="A20:F20"/>
    <mergeCell ref="A72:F72"/>
    <mergeCell ref="A29:F29"/>
    <mergeCell ref="A43:F43"/>
  </mergeCells>
  <hyperlinks>
    <hyperlink xmlns:r="http://schemas.openxmlformats.org/officeDocument/2006/relationships" ref="D3" r:id="rId1"/>
    <hyperlink xmlns:r="http://schemas.openxmlformats.org/officeDocument/2006/relationships" ref="E3" r:id="rId2"/>
    <hyperlink xmlns:r="http://schemas.openxmlformats.org/officeDocument/2006/relationships" ref="D4" r:id="rId3"/>
    <hyperlink xmlns:r="http://schemas.openxmlformats.org/officeDocument/2006/relationships" ref="E4" r:id="rId4"/>
    <hyperlink xmlns:r="http://schemas.openxmlformats.org/officeDocument/2006/relationships" ref="D5" r:id="rId5"/>
    <hyperlink xmlns:r="http://schemas.openxmlformats.org/officeDocument/2006/relationships" ref="E5" r:id="rId6"/>
    <hyperlink xmlns:r="http://schemas.openxmlformats.org/officeDocument/2006/relationships" ref="D6" r:id="rId7"/>
    <hyperlink xmlns:r="http://schemas.openxmlformats.org/officeDocument/2006/relationships" ref="E6" r:id="rId8"/>
    <hyperlink xmlns:r="http://schemas.openxmlformats.org/officeDocument/2006/relationships" ref="D7" r:id="rId9"/>
    <hyperlink xmlns:r="http://schemas.openxmlformats.org/officeDocument/2006/relationships" ref="E7" r:id="rId10"/>
    <hyperlink xmlns:r="http://schemas.openxmlformats.org/officeDocument/2006/relationships" ref="D8" r:id="rId11"/>
    <hyperlink xmlns:r="http://schemas.openxmlformats.org/officeDocument/2006/relationships" ref="E8" r:id="rId12"/>
    <hyperlink xmlns:r="http://schemas.openxmlformats.org/officeDocument/2006/relationships" ref="D9" r:id="rId13"/>
    <hyperlink xmlns:r="http://schemas.openxmlformats.org/officeDocument/2006/relationships" ref="E9" r:id="rId14"/>
    <hyperlink xmlns:r="http://schemas.openxmlformats.org/officeDocument/2006/relationships" ref="D13" r:id="rId15"/>
    <hyperlink xmlns:r="http://schemas.openxmlformats.org/officeDocument/2006/relationships" ref="E13" r:id="rId16"/>
    <hyperlink xmlns:r="http://schemas.openxmlformats.org/officeDocument/2006/relationships" ref="D14" r:id="rId17"/>
    <hyperlink xmlns:r="http://schemas.openxmlformats.org/officeDocument/2006/relationships" ref="E14" r:id="rId18"/>
    <hyperlink xmlns:r="http://schemas.openxmlformats.org/officeDocument/2006/relationships" ref="D15" r:id="rId19"/>
    <hyperlink xmlns:r="http://schemas.openxmlformats.org/officeDocument/2006/relationships" ref="E15" r:id="rId20"/>
    <hyperlink xmlns:r="http://schemas.openxmlformats.org/officeDocument/2006/relationships" ref="D16" r:id="rId21"/>
    <hyperlink xmlns:r="http://schemas.openxmlformats.org/officeDocument/2006/relationships" ref="E16" r:id="rId22"/>
    <hyperlink xmlns:r="http://schemas.openxmlformats.org/officeDocument/2006/relationships" ref="D17" r:id="rId23"/>
    <hyperlink xmlns:r="http://schemas.openxmlformats.org/officeDocument/2006/relationships" ref="E17" r:id="rId24"/>
    <hyperlink xmlns:r="http://schemas.openxmlformats.org/officeDocument/2006/relationships" ref="D18" r:id="rId25"/>
    <hyperlink xmlns:r="http://schemas.openxmlformats.org/officeDocument/2006/relationships" ref="E18" r:id="rId26"/>
    <hyperlink xmlns:r="http://schemas.openxmlformats.org/officeDocument/2006/relationships" ref="D22" r:id="rId27"/>
    <hyperlink xmlns:r="http://schemas.openxmlformats.org/officeDocument/2006/relationships" ref="E22" r:id="rId28"/>
    <hyperlink xmlns:r="http://schemas.openxmlformats.org/officeDocument/2006/relationships" ref="D23" r:id="rId29"/>
    <hyperlink xmlns:r="http://schemas.openxmlformats.org/officeDocument/2006/relationships" ref="E23" r:id="rId30"/>
    <hyperlink xmlns:r="http://schemas.openxmlformats.org/officeDocument/2006/relationships" ref="D24" r:id="rId31"/>
    <hyperlink xmlns:r="http://schemas.openxmlformats.org/officeDocument/2006/relationships" ref="E24" r:id="rId32"/>
    <hyperlink xmlns:r="http://schemas.openxmlformats.org/officeDocument/2006/relationships" ref="D25" r:id="rId33"/>
    <hyperlink xmlns:r="http://schemas.openxmlformats.org/officeDocument/2006/relationships" ref="E25" r:id="rId34"/>
    <hyperlink xmlns:r="http://schemas.openxmlformats.org/officeDocument/2006/relationships" ref="D26" r:id="rId35"/>
    <hyperlink xmlns:r="http://schemas.openxmlformats.org/officeDocument/2006/relationships" ref="E26" r:id="rId36"/>
    <hyperlink xmlns:r="http://schemas.openxmlformats.org/officeDocument/2006/relationships" ref="D27" r:id="rId37"/>
    <hyperlink xmlns:r="http://schemas.openxmlformats.org/officeDocument/2006/relationships" ref="E27" r:id="rId38"/>
    <hyperlink xmlns:r="http://schemas.openxmlformats.org/officeDocument/2006/relationships" ref="D31" r:id="rId39"/>
    <hyperlink xmlns:r="http://schemas.openxmlformats.org/officeDocument/2006/relationships" ref="E31" r:id="rId40"/>
    <hyperlink xmlns:r="http://schemas.openxmlformats.org/officeDocument/2006/relationships" ref="D32" r:id="rId41"/>
    <hyperlink xmlns:r="http://schemas.openxmlformats.org/officeDocument/2006/relationships" ref="E32" r:id="rId42"/>
    <hyperlink xmlns:r="http://schemas.openxmlformats.org/officeDocument/2006/relationships" ref="D33" r:id="rId43"/>
    <hyperlink xmlns:r="http://schemas.openxmlformats.org/officeDocument/2006/relationships" ref="E33" r:id="rId44"/>
    <hyperlink xmlns:r="http://schemas.openxmlformats.org/officeDocument/2006/relationships" ref="D34" r:id="rId45"/>
    <hyperlink xmlns:r="http://schemas.openxmlformats.org/officeDocument/2006/relationships" ref="E34" r:id="rId46"/>
    <hyperlink xmlns:r="http://schemas.openxmlformats.org/officeDocument/2006/relationships" ref="D35" r:id="rId47"/>
    <hyperlink xmlns:r="http://schemas.openxmlformats.org/officeDocument/2006/relationships" ref="E35" r:id="rId48"/>
    <hyperlink xmlns:r="http://schemas.openxmlformats.org/officeDocument/2006/relationships" ref="D36" r:id="rId49"/>
    <hyperlink xmlns:r="http://schemas.openxmlformats.org/officeDocument/2006/relationships" ref="E36" r:id="rId50"/>
    <hyperlink xmlns:r="http://schemas.openxmlformats.org/officeDocument/2006/relationships" ref="D37" r:id="rId51"/>
    <hyperlink xmlns:r="http://schemas.openxmlformats.org/officeDocument/2006/relationships" ref="E37" r:id="rId52"/>
    <hyperlink xmlns:r="http://schemas.openxmlformats.org/officeDocument/2006/relationships" ref="D38" r:id="rId53"/>
    <hyperlink xmlns:r="http://schemas.openxmlformats.org/officeDocument/2006/relationships" ref="E38" r:id="rId54"/>
    <hyperlink xmlns:r="http://schemas.openxmlformats.org/officeDocument/2006/relationships" ref="D39" r:id="rId55"/>
    <hyperlink xmlns:r="http://schemas.openxmlformats.org/officeDocument/2006/relationships" ref="E39" r:id="rId56"/>
    <hyperlink xmlns:r="http://schemas.openxmlformats.org/officeDocument/2006/relationships" ref="D40" r:id="rId57"/>
    <hyperlink xmlns:r="http://schemas.openxmlformats.org/officeDocument/2006/relationships" ref="E40" r:id="rId58"/>
    <hyperlink xmlns:r="http://schemas.openxmlformats.org/officeDocument/2006/relationships" ref="D41" r:id="rId59"/>
    <hyperlink xmlns:r="http://schemas.openxmlformats.org/officeDocument/2006/relationships" ref="E41" r:id="rId60"/>
    <hyperlink xmlns:r="http://schemas.openxmlformats.org/officeDocument/2006/relationships" ref="D45" r:id="rId61"/>
    <hyperlink xmlns:r="http://schemas.openxmlformats.org/officeDocument/2006/relationships" ref="E45" r:id="rId62"/>
    <hyperlink xmlns:r="http://schemas.openxmlformats.org/officeDocument/2006/relationships" ref="D46" r:id="rId63"/>
    <hyperlink xmlns:r="http://schemas.openxmlformats.org/officeDocument/2006/relationships" ref="E46" r:id="rId64"/>
    <hyperlink xmlns:r="http://schemas.openxmlformats.org/officeDocument/2006/relationships" ref="D47" r:id="rId65"/>
    <hyperlink xmlns:r="http://schemas.openxmlformats.org/officeDocument/2006/relationships" ref="E47" r:id="rId66"/>
    <hyperlink xmlns:r="http://schemas.openxmlformats.org/officeDocument/2006/relationships" ref="D48" r:id="rId67"/>
    <hyperlink xmlns:r="http://schemas.openxmlformats.org/officeDocument/2006/relationships" ref="E48" r:id="rId68"/>
    <hyperlink xmlns:r="http://schemas.openxmlformats.org/officeDocument/2006/relationships" ref="D49" r:id="rId69"/>
    <hyperlink xmlns:r="http://schemas.openxmlformats.org/officeDocument/2006/relationships" ref="E49" r:id="rId70"/>
    <hyperlink xmlns:r="http://schemas.openxmlformats.org/officeDocument/2006/relationships" ref="D53" r:id="rId71"/>
    <hyperlink xmlns:r="http://schemas.openxmlformats.org/officeDocument/2006/relationships" ref="E53" r:id="rId72"/>
    <hyperlink xmlns:r="http://schemas.openxmlformats.org/officeDocument/2006/relationships" ref="D54" r:id="rId73"/>
    <hyperlink xmlns:r="http://schemas.openxmlformats.org/officeDocument/2006/relationships" ref="E54" r:id="rId74"/>
    <hyperlink xmlns:r="http://schemas.openxmlformats.org/officeDocument/2006/relationships" ref="D55" r:id="rId75"/>
    <hyperlink xmlns:r="http://schemas.openxmlformats.org/officeDocument/2006/relationships" ref="E55" r:id="rId76"/>
    <hyperlink xmlns:r="http://schemas.openxmlformats.org/officeDocument/2006/relationships" ref="D56" r:id="rId77"/>
    <hyperlink xmlns:r="http://schemas.openxmlformats.org/officeDocument/2006/relationships" ref="E56" r:id="rId78"/>
    <hyperlink xmlns:r="http://schemas.openxmlformats.org/officeDocument/2006/relationships" ref="D57" r:id="rId79"/>
    <hyperlink xmlns:r="http://schemas.openxmlformats.org/officeDocument/2006/relationships" ref="E57" r:id="rId80"/>
    <hyperlink xmlns:r="http://schemas.openxmlformats.org/officeDocument/2006/relationships" ref="D58" r:id="rId81"/>
    <hyperlink xmlns:r="http://schemas.openxmlformats.org/officeDocument/2006/relationships" ref="E58" r:id="rId82"/>
    <hyperlink xmlns:r="http://schemas.openxmlformats.org/officeDocument/2006/relationships" ref="D62" r:id="rId83"/>
    <hyperlink xmlns:r="http://schemas.openxmlformats.org/officeDocument/2006/relationships" ref="E62" r:id="rId84"/>
    <hyperlink xmlns:r="http://schemas.openxmlformats.org/officeDocument/2006/relationships" ref="D63" r:id="rId85"/>
    <hyperlink xmlns:r="http://schemas.openxmlformats.org/officeDocument/2006/relationships" ref="E63" r:id="rId86"/>
    <hyperlink xmlns:r="http://schemas.openxmlformats.org/officeDocument/2006/relationships" ref="D64" r:id="rId87"/>
    <hyperlink xmlns:r="http://schemas.openxmlformats.org/officeDocument/2006/relationships" ref="E64" r:id="rId88"/>
    <hyperlink xmlns:r="http://schemas.openxmlformats.org/officeDocument/2006/relationships" ref="D65" r:id="rId89"/>
    <hyperlink xmlns:r="http://schemas.openxmlformats.org/officeDocument/2006/relationships" ref="E65" r:id="rId90"/>
    <hyperlink xmlns:r="http://schemas.openxmlformats.org/officeDocument/2006/relationships" ref="D66" r:id="rId91"/>
    <hyperlink xmlns:r="http://schemas.openxmlformats.org/officeDocument/2006/relationships" ref="E66" r:id="rId92"/>
    <hyperlink xmlns:r="http://schemas.openxmlformats.org/officeDocument/2006/relationships" ref="D67" r:id="rId93"/>
    <hyperlink xmlns:r="http://schemas.openxmlformats.org/officeDocument/2006/relationships" ref="E67" r:id="rId94"/>
    <hyperlink xmlns:r="http://schemas.openxmlformats.org/officeDocument/2006/relationships" ref="D68" r:id="rId95"/>
    <hyperlink xmlns:r="http://schemas.openxmlformats.org/officeDocument/2006/relationships" ref="E68" r:id="rId96"/>
    <hyperlink xmlns:r="http://schemas.openxmlformats.org/officeDocument/2006/relationships" ref="D69" r:id="rId97"/>
    <hyperlink xmlns:r="http://schemas.openxmlformats.org/officeDocument/2006/relationships" ref="E69" r:id="rId98"/>
    <hyperlink xmlns:r="http://schemas.openxmlformats.org/officeDocument/2006/relationships" ref="D70" r:id="rId99"/>
    <hyperlink xmlns:r="http://schemas.openxmlformats.org/officeDocument/2006/relationships" ref="E70" r:id="rId100"/>
    <hyperlink xmlns:r="http://schemas.openxmlformats.org/officeDocument/2006/relationships" ref="D74" r:id="rId101"/>
    <hyperlink xmlns:r="http://schemas.openxmlformats.org/officeDocument/2006/relationships" ref="E74" r:id="rId102"/>
    <hyperlink xmlns:r="http://schemas.openxmlformats.org/officeDocument/2006/relationships" ref="D75" r:id="rId103"/>
    <hyperlink xmlns:r="http://schemas.openxmlformats.org/officeDocument/2006/relationships" ref="E75" r:id="rId104"/>
    <hyperlink xmlns:r="http://schemas.openxmlformats.org/officeDocument/2006/relationships" ref="D76" r:id="rId105"/>
    <hyperlink xmlns:r="http://schemas.openxmlformats.org/officeDocument/2006/relationships" ref="E76" r:id="rId106"/>
    <hyperlink xmlns:r="http://schemas.openxmlformats.org/officeDocument/2006/relationships" ref="D77" r:id="rId107"/>
    <hyperlink xmlns:r="http://schemas.openxmlformats.org/officeDocument/2006/relationships" ref="E77" r:id="rId108"/>
    <hyperlink xmlns:r="http://schemas.openxmlformats.org/officeDocument/2006/relationships" ref="D78" r:id="rId109"/>
    <hyperlink xmlns:r="http://schemas.openxmlformats.org/officeDocument/2006/relationships" ref="E78" r:id="rId110"/>
    <hyperlink xmlns:r="http://schemas.openxmlformats.org/officeDocument/2006/relationships" ref="D82" r:id="rId111"/>
    <hyperlink xmlns:r="http://schemas.openxmlformats.org/officeDocument/2006/relationships" ref="E82" r:id="rId112"/>
    <hyperlink xmlns:r="http://schemas.openxmlformats.org/officeDocument/2006/relationships" ref="D83" r:id="rId113"/>
    <hyperlink xmlns:r="http://schemas.openxmlformats.org/officeDocument/2006/relationships" ref="E83" r:id="rId114"/>
    <hyperlink xmlns:r="http://schemas.openxmlformats.org/officeDocument/2006/relationships" ref="D84" r:id="rId115"/>
    <hyperlink xmlns:r="http://schemas.openxmlformats.org/officeDocument/2006/relationships" ref="E84" r:id="rId116"/>
    <hyperlink xmlns:r="http://schemas.openxmlformats.org/officeDocument/2006/relationships" ref="D85" r:id="rId117"/>
    <hyperlink xmlns:r="http://schemas.openxmlformats.org/officeDocument/2006/relationships" ref="E85" r:id="rId118"/>
    <hyperlink xmlns:r="http://schemas.openxmlformats.org/officeDocument/2006/relationships" ref="D86" r:id="rId119"/>
    <hyperlink xmlns:r="http://schemas.openxmlformats.org/officeDocument/2006/relationships" ref="E86" r:id="rId120"/>
    <hyperlink xmlns:r="http://schemas.openxmlformats.org/officeDocument/2006/relationships" ref="D90" r:id="rId121"/>
    <hyperlink xmlns:r="http://schemas.openxmlformats.org/officeDocument/2006/relationships" ref="E90" r:id="rId122"/>
    <hyperlink xmlns:r="http://schemas.openxmlformats.org/officeDocument/2006/relationships" ref="D91" r:id="rId123"/>
    <hyperlink xmlns:r="http://schemas.openxmlformats.org/officeDocument/2006/relationships" ref="E91" r:id="rId124"/>
    <hyperlink xmlns:r="http://schemas.openxmlformats.org/officeDocument/2006/relationships" ref="D92" r:id="rId125"/>
    <hyperlink xmlns:r="http://schemas.openxmlformats.org/officeDocument/2006/relationships" ref="E92" r:id="rId126"/>
    <hyperlink xmlns:r="http://schemas.openxmlformats.org/officeDocument/2006/relationships" ref="D93" r:id="rId127"/>
    <hyperlink xmlns:r="http://schemas.openxmlformats.org/officeDocument/2006/relationships" ref="E93" r:id="rId128"/>
    <hyperlink xmlns:r="http://schemas.openxmlformats.org/officeDocument/2006/relationships" ref="D94" r:id="rId129"/>
    <hyperlink xmlns:r="http://schemas.openxmlformats.org/officeDocument/2006/relationships" ref="E94" r:id="rId130"/>
    <hyperlink xmlns:r="http://schemas.openxmlformats.org/officeDocument/2006/relationships" ref="D95" r:id="rId131"/>
    <hyperlink xmlns:r="http://schemas.openxmlformats.org/officeDocument/2006/relationships" ref="E95" r:id="rId132"/>
    <hyperlink xmlns:r="http://schemas.openxmlformats.org/officeDocument/2006/relationships" ref="D96" r:id="rId133"/>
    <hyperlink xmlns:r="http://schemas.openxmlformats.org/officeDocument/2006/relationships" ref="E96" r:id="rId134"/>
    <hyperlink xmlns:r="http://schemas.openxmlformats.org/officeDocument/2006/relationships" ref="D97" r:id="rId135"/>
    <hyperlink xmlns:r="http://schemas.openxmlformats.org/officeDocument/2006/relationships" ref="E97" r:id="rId1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2026-08-05T17:42:56Z</dcterms:created>
  <dcterms:modified xmlns:dcterms="http://purl.org/dc/terms/" xmlns:xsi="http://www.w3.org/2001/XMLSchema-instance" xsi:type="dcterms:W3CDTF">2026-08-05T17:42:57Z</dcterms:modified>
</cp:coreProperties>
</file>