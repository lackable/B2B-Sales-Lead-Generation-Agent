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5" customWidth="1" min="1" max="1"/>
    <col width="17" customWidth="1" min="2" max="2"/>
    <col width="25" customWidth="1" min="3" max="3"/>
    <col width="16" customWidth="1" min="4" max="4"/>
    <col width="21" customWidth="1" min="5" max="5"/>
    <col width="17" customWidth="1" min="6" max="6"/>
    <col width="19"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AKUMS DRUGS AND PHARMA L</t>
        </is>
      </c>
      <c r="B2" t="inlineStr">
        <is>
          <t>NSE:AKUMS</t>
        </is>
      </c>
      <c r="C2" t="inlineStr">
        <is>
          <t>Biotechnology</t>
        </is>
      </c>
      <c r="D2" t="n">
        <v>43590170000</v>
      </c>
      <c r="E2" t="n">
        <v>2551880000</v>
      </c>
      <c r="F2" t="n">
        <v>7337</v>
      </c>
      <c r="G2" t="inlineStr">
        <is>
          <t>Delhi, India</t>
        </is>
      </c>
      <c r="H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I2" s="2">
        <f>HYPERLINK("https://www.akums.in", "https://www.akums.in")</f>
        <v/>
      </c>
      <c r="J2" s="2">
        <f>HYPERLINK("https://www.linkedin.com/company/akums", "https://www.linkedin.com/company/akums")</f>
        <v/>
      </c>
      <c r="K2" s="3" t="inlineStr">
        <is>
          <t>Verified</t>
        </is>
      </c>
    </row>
    <row r="3">
      <c r="A3" t="inlineStr">
        <is>
          <t>INDEGENE LIMITED</t>
        </is>
      </c>
      <c r="B3" t="inlineStr">
        <is>
          <t>NSE:INDGN</t>
        </is>
      </c>
      <c r="C3" t="inlineStr">
        <is>
          <t>Pharmaceuticals: Major</t>
        </is>
      </c>
      <c r="D3" t="n">
        <v>38128000000</v>
      </c>
      <c r="E3" t="n">
        <v>4009000000</v>
      </c>
      <c r="F3" t="n">
        <v>4687</v>
      </c>
      <c r="G3" t="inlineStr">
        <is>
          <t>Bengaluru, India</t>
        </is>
      </c>
      <c r="H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I3" s="2">
        <f>HYPERLINK("https://www.indegene.com", "https://www.indegene.com")</f>
        <v/>
      </c>
      <c r="J3" s="2">
        <f>HYPERLINK("https://www.linkedin.com/company/indegene", "https://www.linkedin.com/company/indegene")</f>
        <v/>
      </c>
      <c r="K3" s="3" t="inlineStr">
        <is>
          <t>Verified</t>
        </is>
      </c>
    </row>
    <row r="4">
      <c r="A4" t="inlineStr">
        <is>
          <t>Wockhardt Limited</t>
        </is>
      </c>
      <c r="B4" t="inlineStr">
        <is>
          <t>BSE:WOCKPHARMA</t>
        </is>
      </c>
      <c r="C4" t="inlineStr">
        <is>
          <t>Pharmaceuticals: Major</t>
        </is>
      </c>
      <c r="D4" t="n">
        <v>33730000000</v>
      </c>
      <c r="E4" t="n">
        <v>2130000000</v>
      </c>
      <c r="F4" t="n">
        <v>2564</v>
      </c>
      <c r="G4" t="inlineStr">
        <is>
          <t>Mumbai, India</t>
        </is>
      </c>
      <c r="H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I4" s="2">
        <f>HYPERLINK("https://www.wockhardt.com", "https://www.wockhardt.com")</f>
        <v/>
      </c>
      <c r="J4" s="2">
        <f>HYPERLINK("https://www.linkedin.com/company/wockhardt", "https://www.linkedin.com/company/wockhardt")</f>
        <v/>
      </c>
      <c r="K4" s="3" t="inlineStr">
        <is>
          <t>Verified</t>
        </is>
      </c>
    </row>
    <row r="5">
      <c r="A5" t="inlineStr">
        <is>
          <t>Marksans Pharma Limited</t>
        </is>
      </c>
      <c r="B5" t="inlineStr">
        <is>
          <t>BSE:MARKSANS</t>
        </is>
      </c>
      <c r="C5" t="inlineStr">
        <is>
          <t>Pharmaceuticals: Major</t>
        </is>
      </c>
      <c r="D5" t="n">
        <v>29509390000</v>
      </c>
      <c r="E5" t="n">
        <v>4178980000</v>
      </c>
      <c r="F5" t="n">
        <v>1840</v>
      </c>
      <c r="G5" t="inlineStr">
        <is>
          <t>Mumbai, India</t>
        </is>
      </c>
      <c r="H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I5" s="2">
        <f>HYPERLINK("https://marksanspharma.com", "https://marksanspharma.com")</f>
        <v/>
      </c>
      <c r="J5" s="2">
        <f>HYPERLINK("https://www.linkedin.com/company/marksans-pharma-ltd---india", "https://www.linkedin.com/company/marksans-pharma-ltd---india")</f>
        <v/>
      </c>
      <c r="K5" s="3" t="inlineStr">
        <is>
          <t>Verified</t>
        </is>
      </c>
    </row>
    <row r="6">
      <c r="A6" t="inlineStr">
        <is>
          <t>Dishman Carbogen Amcis Limited</t>
        </is>
      </c>
      <c r="B6" t="inlineStr">
        <is>
          <t>BSE:DCAL</t>
        </is>
      </c>
      <c r="C6" t="inlineStr">
        <is>
          <t>Pharmaceuticals: Major</t>
        </is>
      </c>
      <c r="D6" t="n">
        <v>29319000000</v>
      </c>
      <c r="E6" t="n">
        <v>974500000</v>
      </c>
      <c r="F6" t="inlineStr"/>
      <c r="G6" t="inlineStr">
        <is>
          <t>Ahmedabad, India</t>
        </is>
      </c>
      <c r="H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I6" s="2">
        <f>HYPERLINK("https://imdcal.com", "https://imdcal.com")</f>
        <v/>
      </c>
      <c r="J6" s="2">
        <f>HYPERLINK("https://www.linkedin.com/company/dishman", "https://www.linkedin.com/company/dishman")</f>
        <v/>
      </c>
      <c r="K6" s="3" t="inlineStr">
        <is>
          <t>Verified</t>
        </is>
      </c>
    </row>
    <row r="7">
      <c r="A7" t="inlineStr">
        <is>
          <t>Aarti Drugs Limited</t>
        </is>
      </c>
      <c r="B7" t="inlineStr">
        <is>
          <t>BSE:AARTIDRUGS</t>
        </is>
      </c>
      <c r="C7" t="inlineStr">
        <is>
          <t>Pharmaceuticals: Major</t>
        </is>
      </c>
      <c r="D7" t="n">
        <v>26775800000</v>
      </c>
      <c r="E7" t="n">
        <v>1911820000</v>
      </c>
      <c r="F7" t="inlineStr"/>
      <c r="G7" t="inlineStr">
        <is>
          <t>Mumbai, India</t>
        </is>
      </c>
      <c r="H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I7" s="2">
        <f>HYPERLINK("https://www.aartidrugs.co.in", "https://www.aartidrugs.co.in")</f>
        <v/>
      </c>
      <c r="J7" s="2">
        <f>HYPERLINK("https://www.linkedin.com/company/aarti-drugs-limited", "https://www.linkedin.com/company/aarti-drugs-limited")</f>
        <v/>
      </c>
      <c r="K7" s="3" t="inlineStr">
        <is>
          <t>Verified</t>
        </is>
      </c>
    </row>
    <row r="8">
      <c r="A8" t="inlineStr">
        <is>
          <t>Viyash Scientific Limited</t>
        </is>
      </c>
      <c r="B8" t="inlineStr">
        <is>
          <t>BSE:VIYASH</t>
        </is>
      </c>
      <c r="C8" t="inlineStr">
        <is>
          <t>Pharmaceuticals: Major</t>
        </is>
      </c>
      <c r="D8" t="n">
        <v>26437800000</v>
      </c>
      <c r="E8" t="n">
        <v>1196000000</v>
      </c>
      <c r="F8" t="n">
        <v>2900</v>
      </c>
      <c r="G8" t="inlineStr">
        <is>
          <t>Hyderabad, India</t>
        </is>
      </c>
      <c r="H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I8" s="2">
        <f>HYPERLINK("https://www.viyash.com", "https://www.viyash.com")</f>
        <v/>
      </c>
      <c r="J8" s="2">
        <f>HYPERLINK("https://www.linkedin.com/company/viyash-life-sciences-pvt-ltd", "https://www.linkedin.com/company/viyash-life-sciences-pvt-ltd")</f>
        <v/>
      </c>
      <c r="K8" s="3" t="inlineStr">
        <is>
          <t>Verified</t>
        </is>
      </c>
    </row>
    <row r="9">
      <c r="A9" t="inlineStr">
        <is>
          <t>Anupam Rasayan India Ltd</t>
        </is>
      </c>
      <c r="B9" t="inlineStr">
        <is>
          <t>BSE:ANURAS</t>
        </is>
      </c>
      <c r="C9" t="inlineStr">
        <is>
          <t>Pharmaceuticals: Major</t>
        </is>
      </c>
      <c r="D9" t="n">
        <v>23654550000</v>
      </c>
      <c r="E9" t="n">
        <v>1701210000</v>
      </c>
      <c r="F9" t="inlineStr"/>
      <c r="G9" t="inlineStr">
        <is>
          <t>Surat, India</t>
        </is>
      </c>
      <c r="H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I9" s="2">
        <f>HYPERLINK("https://www.anupamrasayan.com", "https://www.anupamrasayan.com")</f>
        <v/>
      </c>
      <c r="J9" s="2">
        <f>HYPERLINK("https://www.linkedin.com/company/anupam-rasayan-india-ltd", "https://www.linkedin.com/company/anupam-rasayan-india-ltd")</f>
        <v/>
      </c>
      <c r="K9" s="3" t="inlineStr">
        <is>
          <t>Verified</t>
        </is>
      </c>
    </row>
    <row r="10">
      <c r="A10" t="inlineStr">
        <is>
          <t>AstraZeneca Pharma India Limited</t>
        </is>
      </c>
      <c r="B10" t="inlineStr">
        <is>
          <t>NSE:ASTRAZEN</t>
        </is>
      </c>
      <c r="C10" t="inlineStr">
        <is>
          <t>Pharmaceuticals: Major</t>
        </is>
      </c>
      <c r="D10" t="n">
        <v>22755800000</v>
      </c>
      <c r="E10" t="n">
        <v>1875200000</v>
      </c>
      <c r="F10" t="n">
        <v>760</v>
      </c>
      <c r="G10" t="inlineStr">
        <is>
          <t>Bengaluru, India</t>
        </is>
      </c>
      <c r="H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I10" s="2">
        <f>HYPERLINK("https://www.astrazeneca.in", "https://www.astrazeneca.in")</f>
        <v/>
      </c>
      <c r="J10" s="2">
        <f>HYPERLINK("https://www.linkedin.com/company/astrazenecaindia", "https://www.linkedin.com/company/astrazenecaindia")</f>
        <v/>
      </c>
      <c r="K10" s="3" t="inlineStr">
        <is>
          <t>Verified</t>
        </is>
      </c>
    </row>
    <row r="11">
      <c r="A11" t="inlineStr">
        <is>
          <t>COHANCE LIFESCIENCES LTD</t>
        </is>
      </c>
      <c r="B11" t="inlineStr">
        <is>
          <t>NSE:COHANCE</t>
        </is>
      </c>
      <c r="C11" t="inlineStr">
        <is>
          <t>Pharmaceuticals: Major</t>
        </is>
      </c>
      <c r="D11" t="n">
        <v>22685500000</v>
      </c>
      <c r="E11" t="n">
        <v>1792300000</v>
      </c>
      <c r="F11" t="inlineStr"/>
      <c r="G11" t="inlineStr">
        <is>
          <t>Hyderabad, India</t>
        </is>
      </c>
      <c r="H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I11" s="2">
        <f>HYPERLINK("https://www.cohance.com", "https://www.cohance.com")</f>
        <v/>
      </c>
      <c r="J11" s="2">
        <f>HYPERLINK("https://www.linkedin.com/company/cohance-lifesciences", "https://www.linkedin.com/company/cohance-lifesciences")</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2026-08-05T17:42:56Z</dcterms:created>
  <dcterms:modified xmlns:dcterms="http://purl.org/dc/terms/" xmlns:xsi="http://www.w3.org/2001/XMLSchema-instance" xsi:type="dcterms:W3CDTF">2026-08-05T17:42:56Z</dcterms:modified>
</cp:coreProperties>
</file>