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color rgb="000563C1"/>
      <u val="single"/>
    </font>
    <font>
      <b val="1"/>
      <color rgb="000F5132"/>
    </font>
    <font>
      <name val="Arial"/>
      <b val="1"/>
      <color rgb="00FFFFFF"/>
      <sz val="12"/>
    </font>
    <font>
      <name val="Arial"/>
      <b val="1"/>
      <color rgb="002F5496"/>
      <sz val="10"/>
    </font>
    <font>
      <name val="Arial"/>
      <sz val="10"/>
    </font>
    <font>
      <name val="Arial"/>
      <color rgb="000563C1"/>
      <sz val="10"/>
      <u val="single"/>
    </font>
  </fonts>
  <fills count="7">
    <fill>
      <patternFill/>
    </fill>
    <fill>
      <patternFill patternType="gray125"/>
    </fill>
    <fill>
      <patternFill patternType="solid">
        <fgColor rgb="001F2937"/>
        <bgColor rgb="001F2937"/>
      </patternFill>
    </fill>
    <fill>
      <patternFill patternType="solid">
        <fgColor rgb="00D1E7DD"/>
        <bgColor rgb="00D1E7DD"/>
      </patternFill>
    </fill>
    <fill>
      <patternFill patternType="solid">
        <fgColor rgb="002F5496"/>
      </patternFill>
    </fill>
    <fill>
      <patternFill patternType="solid">
        <fgColor rgb="00D6E4F0"/>
      </patternFill>
    </fill>
    <fill>
      <patternFill patternType="solid">
        <fgColor rgb="00F2F2F2"/>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0" fillId="4" borderId="1" pivotButton="0" quotePrefix="0" xfId="0"/>
    <xf numFmtId="0" fontId="5" fillId="5" borderId="1" applyAlignment="1" pivotButton="0" quotePrefix="0" xfId="0">
      <alignment horizontal="center" vertical="center"/>
    </xf>
    <xf numFmtId="0" fontId="6" fillId="0" borderId="1" applyAlignment="1" pivotButton="0" quotePrefix="0" xfId="0">
      <alignment horizontal="center" vertical="center"/>
    </xf>
    <xf numFmtId="0" fontId="6" fillId="0" borderId="1" applyAlignment="1" pivotButton="0" quotePrefix="0" xfId="0">
      <alignment vertical="center" wrapText="1"/>
    </xf>
    <xf numFmtId="0" fontId="7" fillId="0" borderId="1" applyAlignment="1" pivotButton="0" quotePrefix="0" xfId="0">
      <alignment vertical="center" wrapText="1"/>
    </xf>
    <xf numFmtId="0" fontId="6" fillId="6" borderId="1" applyAlignment="1" pivotButton="0" quotePrefix="0" xfId="0">
      <alignment horizontal="center" vertical="center"/>
    </xf>
    <xf numFmtId="0" fontId="6" fillId="6" borderId="1" applyAlignment="1" pivotButton="0" quotePrefix="0" xfId="0">
      <alignment vertical="center" wrapText="1"/>
    </xf>
    <xf numFmtId="0" fontId="7" fillId="6"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n.linkedin.com/in/saumya-engineer-6a8803206" TargetMode="External" Id="rId1"/><Relationship Type="http://schemas.openxmlformats.org/officeDocument/2006/relationships/hyperlink" Target="https://www.linkedin.com/company/astralpipesofficial" TargetMode="External" Id="rId2"/><Relationship Type="http://schemas.openxmlformats.org/officeDocument/2006/relationships/hyperlink" Target="https://in.linkedin.com/in/jitendra-asopa-0b22992b" TargetMode="External" Id="rId3"/><Relationship Type="http://schemas.openxmlformats.org/officeDocument/2006/relationships/hyperlink" Target="https://www.linkedin.com/company/astralpipesofficial" TargetMode="External" Id="rId4"/><Relationship Type="http://schemas.openxmlformats.org/officeDocument/2006/relationships/hyperlink" Target="https://in.linkedin.com/in/vikas-sharma-20970921" TargetMode="External" Id="rId5"/><Relationship Type="http://schemas.openxmlformats.org/officeDocument/2006/relationships/hyperlink" Target="https://www.linkedin.com/company/astralpipesofficial" TargetMode="External" Id="rId6"/><Relationship Type="http://schemas.openxmlformats.org/officeDocument/2006/relationships/hyperlink" Target="https://in.linkedin.com/in/viral-mankodi-6642a06" TargetMode="External" Id="rId7"/><Relationship Type="http://schemas.openxmlformats.org/officeDocument/2006/relationships/hyperlink" Target="https://www.linkedin.com/company/astralpipesofficial" TargetMode="External" Id="rId8"/><Relationship Type="http://schemas.openxmlformats.org/officeDocument/2006/relationships/hyperlink" Target="https://in.linkedin.com/in/yogesh-kakra-5b4502248" TargetMode="External" Id="rId9"/><Relationship Type="http://schemas.openxmlformats.org/officeDocument/2006/relationships/hyperlink" Target="https://www.linkedin.com/company/astralpipesofficial" TargetMode="External" Id="rId10"/><Relationship Type="http://schemas.openxmlformats.org/officeDocument/2006/relationships/hyperlink" Target="https://in.linkedin.com/in/praveen-dubey-73893628" TargetMode="External" Id="rId11"/><Relationship Type="http://schemas.openxmlformats.org/officeDocument/2006/relationships/hyperlink" Target="https://www.linkedin.com/company/astralpipesofficial" TargetMode="External" Id="rId12"/><Relationship Type="http://schemas.openxmlformats.org/officeDocument/2006/relationships/hyperlink" Target="https://in.linkedin.com/in/jay-s-k-6a864a16" TargetMode="External" Id="rId13"/><Relationship Type="http://schemas.openxmlformats.org/officeDocument/2006/relationships/hyperlink" Target="https://www.linkedin.com/company/astralpipesofficial" TargetMode="External" Id="rId14"/><Relationship Type="http://schemas.openxmlformats.org/officeDocument/2006/relationships/hyperlink" Target="https://in.linkedin.com/in/mithun-chittilappilly-6834a2197" TargetMode="External" Id="rId15"/><Relationship Type="http://schemas.openxmlformats.org/officeDocument/2006/relationships/hyperlink" Target="https://www.linkedin.com/company/v-guard" TargetMode="External" Id="rId16"/><Relationship Type="http://schemas.openxmlformats.org/officeDocument/2006/relationships/hyperlink" Target="https://in.linkedin.com/in/anjana-narwal-1664b832" TargetMode="External" Id="rId17"/><Relationship Type="http://schemas.openxmlformats.org/officeDocument/2006/relationships/hyperlink" Target="https://www.linkedin.com/company/v-guard" TargetMode="External" Id="rId18"/><Relationship Type="http://schemas.openxmlformats.org/officeDocument/2006/relationships/hyperlink" Target="https://in.linkedin.com/in/sundaresh-holla-58042716" TargetMode="External" Id="rId19"/><Relationship Type="http://schemas.openxmlformats.org/officeDocument/2006/relationships/hyperlink" Target="https://www.linkedin.com/company/v-guard" TargetMode="External" Id="rId20"/><Relationship Type="http://schemas.openxmlformats.org/officeDocument/2006/relationships/hyperlink" Target="https://in.linkedin.com/in/kapil-sharma-06950235" TargetMode="External" Id="rId21"/><Relationship Type="http://schemas.openxmlformats.org/officeDocument/2006/relationships/hyperlink" Target="https://www.linkedin.com/company/v-guard" TargetMode="External" Id="rId22"/><Relationship Type="http://schemas.openxmlformats.org/officeDocument/2006/relationships/hyperlink" Target="https://in.linkedin.com/in/ramachandranvenketaraman" TargetMode="External" Id="rId23"/><Relationship Type="http://schemas.openxmlformats.org/officeDocument/2006/relationships/hyperlink" Target="https://www.linkedin.com/company/v-guard" TargetMode="External" Id="rId24"/><Relationship Type="http://schemas.openxmlformats.org/officeDocument/2006/relationships/hyperlink" Target="https://in.linkedin.com/in/s-v-mahesh-b64a745" TargetMode="External" Id="rId25"/><Relationship Type="http://schemas.openxmlformats.org/officeDocument/2006/relationships/hyperlink" Target="https://www.linkedin.com/company/sundram-fasteners" TargetMode="External" Id="rId26"/><Relationship Type="http://schemas.openxmlformats.org/officeDocument/2006/relationships/hyperlink" Target="https://in.linkedin.com/in/krishnan-ramanujan-7246936" TargetMode="External" Id="rId27"/><Relationship Type="http://schemas.openxmlformats.org/officeDocument/2006/relationships/hyperlink" Target="https://www.linkedin.com/company/sundram-fasteners" TargetMode="External" Id="rId28"/><Relationship Type="http://schemas.openxmlformats.org/officeDocument/2006/relationships/hyperlink" Target="https://in.linkedin.com/in/dr-ramesh-s-569150223" TargetMode="External" Id="rId29"/><Relationship Type="http://schemas.openxmlformats.org/officeDocument/2006/relationships/hyperlink" Target="https://www.linkedin.com/company/sundram-fasteners" TargetMode="External" Id="rId30"/><Relationship Type="http://schemas.openxmlformats.org/officeDocument/2006/relationships/hyperlink" Target="https://in.linkedin.com/in/m-sundaram-srinivasan-648a5ba" TargetMode="External" Id="rId31"/><Relationship Type="http://schemas.openxmlformats.org/officeDocument/2006/relationships/hyperlink" Target="https://www.linkedin.com/company/sundram-fasteners" TargetMode="External" Id="rId32"/><Relationship Type="http://schemas.openxmlformats.org/officeDocument/2006/relationships/hyperlink" Target="https://in.linkedin.com/in/vaitheeshkumar-subramanian-47708b113" TargetMode="External" Id="rId33"/><Relationship Type="http://schemas.openxmlformats.org/officeDocument/2006/relationships/hyperlink" Target="https://www.linkedin.com/company/sundram-fasteners" TargetMode="External" Id="rId34"/><Relationship Type="http://schemas.openxmlformats.org/officeDocument/2006/relationships/hyperlink" Target="https://in.linkedin.com/in/seshadri-ramanujam-9411178b" TargetMode="External" Id="rId35"/><Relationship Type="http://schemas.openxmlformats.org/officeDocument/2006/relationships/hyperlink" Target="https://www.linkedin.com/company/sundram-fasteners" TargetMode="External" Id="rId36"/><Relationship Type="http://schemas.openxmlformats.org/officeDocument/2006/relationships/hyperlink" Target="https://in.linkedin.com/in/rajagopalan-srinivasan-52abb8251" TargetMode="External" Id="rId37"/><Relationship Type="http://schemas.openxmlformats.org/officeDocument/2006/relationships/hyperlink" Target="https://www.linkedin.com/company/sundram-fasteners" TargetMode="External" Id="rId38"/><Relationship Type="http://schemas.openxmlformats.org/officeDocument/2006/relationships/hyperlink" Target="https://in.linkedin.com/in/vivek-gupta-61018422" TargetMode="External" Id="rId39"/><Relationship Type="http://schemas.openxmlformats.org/officeDocument/2006/relationships/hyperlink" Target="https://www.linkedin.com/company/jbm-group" TargetMode="External" Id="rId40"/><Relationship Type="http://schemas.openxmlformats.org/officeDocument/2006/relationships/hyperlink" Target="https://in.linkedin.com/in/sanjay-rusia-85a45442" TargetMode="External" Id="rId41"/><Relationship Type="http://schemas.openxmlformats.org/officeDocument/2006/relationships/hyperlink" Target="https://www.linkedin.com/company/jbm-group" TargetMode="External" Id="rId42"/><Relationship Type="http://schemas.openxmlformats.org/officeDocument/2006/relationships/hyperlink" Target="https://in.linkedin.com/in/rajiv-sahdev-7a436410" TargetMode="External" Id="rId43"/><Relationship Type="http://schemas.openxmlformats.org/officeDocument/2006/relationships/hyperlink" Target="https://www.linkedin.com/company/jbm-group" TargetMode="External" Id="rId44"/><Relationship Type="http://schemas.openxmlformats.org/officeDocument/2006/relationships/hyperlink" Target="https://in.linkedin.com/in/dhiraj-mohan-74958411" TargetMode="External" Id="rId45"/><Relationship Type="http://schemas.openxmlformats.org/officeDocument/2006/relationships/hyperlink" Target="https://www.linkedin.com/company/jbm-group" TargetMode="External" Id="rId46"/><Relationship Type="http://schemas.openxmlformats.org/officeDocument/2006/relationships/hyperlink" Target="https://in.linkedin.com/in/sanjay-bassi-985452139" TargetMode="External" Id="rId47"/><Relationship Type="http://schemas.openxmlformats.org/officeDocument/2006/relationships/hyperlink" Target="https://www.linkedin.com/company/jbm-group" TargetMode="External" Id="rId48"/><Relationship Type="http://schemas.openxmlformats.org/officeDocument/2006/relationships/hyperlink" Target="https://in.linkedin.com/in/shubhra-sahay-19017ba" TargetMode="External" Id="rId49"/><Relationship Type="http://schemas.openxmlformats.org/officeDocument/2006/relationships/hyperlink" Target="https://www.linkedin.com/company/jbm-group" TargetMode="External" Id="rId50"/><Relationship Type="http://schemas.openxmlformats.org/officeDocument/2006/relationships/hyperlink" Target="https://in.linkedin.com/in/prabhat-dhusiya-07255258" TargetMode="External" Id="rId51"/><Relationship Type="http://schemas.openxmlformats.org/officeDocument/2006/relationships/hyperlink" Target="https://www.linkedin.com/company/jbm-group" TargetMode="External" Id="rId52"/><Relationship Type="http://schemas.openxmlformats.org/officeDocument/2006/relationships/hyperlink" Target="https://in.linkedin.com/in/ashok-minda-083671229" TargetMode="External" Id="rId53"/><Relationship Type="http://schemas.openxmlformats.org/officeDocument/2006/relationships/hyperlink" Target="https://www.linkedin.com/company/sparkminda" TargetMode="External" Id="rId54"/><Relationship Type="http://schemas.openxmlformats.org/officeDocument/2006/relationships/hyperlink" Target="https://in.linkedin.com/in/deepak-arora-57655215" TargetMode="External" Id="rId55"/><Relationship Type="http://schemas.openxmlformats.org/officeDocument/2006/relationships/hyperlink" Target="https://www.linkedin.com/company/sparkminda" TargetMode="External" Id="rId56"/><Relationship Type="http://schemas.openxmlformats.org/officeDocument/2006/relationships/hyperlink" Target="https://in.linkedin.com/in/dr-suresh-d-402a6229" TargetMode="External" Id="rId57"/><Relationship Type="http://schemas.openxmlformats.org/officeDocument/2006/relationships/hyperlink" Target="https://www.linkedin.com/company/sparkminda" TargetMode="External" Id="rId58"/><Relationship Type="http://schemas.openxmlformats.org/officeDocument/2006/relationships/hyperlink" Target="https://in.linkedin.com/in/aakash-minda-638a1121" TargetMode="External" Id="rId59"/><Relationship Type="http://schemas.openxmlformats.org/officeDocument/2006/relationships/hyperlink" Target="https://www.linkedin.com/company/sparkminda" TargetMode="External" Id="rId60"/><Relationship Type="http://schemas.openxmlformats.org/officeDocument/2006/relationships/hyperlink" Target="https://in.linkedin.com/in/sumit-doseja-80442016" TargetMode="External" Id="rId61"/><Relationship Type="http://schemas.openxmlformats.org/officeDocument/2006/relationships/hyperlink" Target="https://www.linkedin.com/company/sparkminda" TargetMode="External" Id="rId62"/><Relationship Type="http://schemas.openxmlformats.org/officeDocument/2006/relationships/hyperlink" Target="https://in.linkedin.com/in/nimesh-kapoor-3156548b" TargetMode="External" Id="rId63"/><Relationship Type="http://schemas.openxmlformats.org/officeDocument/2006/relationships/hyperlink" Target="https://www.linkedin.com/company/rr-sharamik" TargetMode="External" Id="rId64"/><Relationship Type="http://schemas.openxmlformats.org/officeDocument/2006/relationships/hyperlink" Target="https://in.linkedin.com/in/vijay-chandak-ramrat-chandak-ramratna-385169162" TargetMode="External" Id="rId65"/><Relationship Type="http://schemas.openxmlformats.org/officeDocument/2006/relationships/hyperlink" Target="https://www.linkedin.com/company/rr-sharamik" TargetMode="External" Id="rId66"/><Relationship Type="http://schemas.openxmlformats.org/officeDocument/2006/relationships/hyperlink" Target="https://in.linkedin.com/in/rajnarayan-singh-singh-b34855157" TargetMode="External" Id="rId67"/><Relationship Type="http://schemas.openxmlformats.org/officeDocument/2006/relationships/hyperlink" Target="https://www.linkedin.com/company/rr-sharamik" TargetMode="External" Id="rId68"/><Relationship Type="http://schemas.openxmlformats.org/officeDocument/2006/relationships/hyperlink" Target="https://in.linkedin.com/in/jigar-vaghela-86483b343" TargetMode="External" Id="rId69"/><Relationship Type="http://schemas.openxmlformats.org/officeDocument/2006/relationships/hyperlink" Target="https://www.linkedin.com/company/rr-sharamik" TargetMode="External" Id="rId70"/><Relationship Type="http://schemas.openxmlformats.org/officeDocument/2006/relationships/hyperlink" Target="https://in.linkedin.com/in/saurabh-gupta-45166ab1" TargetMode="External" Id="rId71"/><Relationship Type="http://schemas.openxmlformats.org/officeDocument/2006/relationships/hyperlink" Target="https://www.linkedin.com/company/rr-sharamik" TargetMode="External" Id="rId72"/><Relationship Type="http://schemas.openxmlformats.org/officeDocument/2006/relationships/hyperlink" Target="https://in.linkedin.com/in/sudhir-masaji-a8429b35" TargetMode="External" Id="rId73"/><Relationship Type="http://schemas.openxmlformats.org/officeDocument/2006/relationships/hyperlink" Target="https://www.linkedin.com/company/rr-sharamik" TargetMode="External" Id="rId74"/><Relationship Type="http://schemas.openxmlformats.org/officeDocument/2006/relationships/hyperlink" Target="https://in.linkedin.com/in/k-rajendran-820370226" TargetMode="External" Id="rId75"/><Relationship Type="http://schemas.openxmlformats.org/officeDocument/2006/relationships/hyperlink" Target="https://www.linkedin.com/company/rane-holdings-limited" TargetMode="External" Id="rId76"/><Relationship Type="http://schemas.openxmlformats.org/officeDocument/2006/relationships/hyperlink" Target="https://in.linkedin.com/in/viswanathan-n-1b67aa169" TargetMode="External" Id="rId77"/><Relationship Type="http://schemas.openxmlformats.org/officeDocument/2006/relationships/hyperlink" Target="https://www.linkedin.com/company/rane-holdings-limited" TargetMode="External" Id="rId78"/><Relationship Type="http://schemas.openxmlformats.org/officeDocument/2006/relationships/hyperlink" Target="https://in.linkedin.com/in/viswanathan-k-07389a131" TargetMode="External" Id="rId79"/><Relationship Type="http://schemas.openxmlformats.org/officeDocument/2006/relationships/hyperlink" Target="https://www.linkedin.com/company/rane-holdings-limited" TargetMode="External" Id="rId80"/><Relationship Type="http://schemas.openxmlformats.org/officeDocument/2006/relationships/hyperlink" Target="https://in.linkedin.com/in/dr-p-a-padmanabhan-7247b61b" TargetMode="External" Id="rId81"/><Relationship Type="http://schemas.openxmlformats.org/officeDocument/2006/relationships/hyperlink" Target="https://www.linkedin.com/company/rane-holdings-limited" TargetMode="External" Id="rId82"/><Relationship Type="http://schemas.openxmlformats.org/officeDocument/2006/relationships/hyperlink" Target="https://in.linkedin.com/in/ramasubramanianvenkatraman" TargetMode="External" Id="rId83"/><Relationship Type="http://schemas.openxmlformats.org/officeDocument/2006/relationships/hyperlink" Target="https://www.linkedin.com/company/rane-holdings-limited" TargetMode="External" Id="rId84"/><Relationship Type="http://schemas.openxmlformats.org/officeDocument/2006/relationships/hyperlink" Target="https://in.linkedin.com/in/naveen-lohia-10408711" TargetMode="External" Id="rId85"/><Relationship Type="http://schemas.openxmlformats.org/officeDocument/2006/relationships/hyperlink" Target="https://www.linkedin.com/company/century-plyboards-limited" TargetMode="External" Id="rId86"/><Relationship Type="http://schemas.openxmlformats.org/officeDocument/2006/relationships/hyperlink" Target="https://in.linkedin.com/in/arnab-basu-492a06196" TargetMode="External" Id="rId87"/><Relationship Type="http://schemas.openxmlformats.org/officeDocument/2006/relationships/hyperlink" Target="https://www.linkedin.com/company/century-plyboards-limited" TargetMode="External" Id="rId88"/><Relationship Type="http://schemas.openxmlformats.org/officeDocument/2006/relationships/hyperlink" Target="https://in.linkedin.com/in/sanjay-agarwal-b9504523" TargetMode="External" Id="rId89"/><Relationship Type="http://schemas.openxmlformats.org/officeDocument/2006/relationships/hyperlink" Target="https://www.linkedin.com/company/century-plyboards-limited" TargetMode="External" Id="rId90"/><Relationship Type="http://schemas.openxmlformats.org/officeDocument/2006/relationships/hyperlink" Target="https://in.linkedin.com/in/prem-kumar-763a9228" TargetMode="External" Id="rId91"/><Relationship Type="http://schemas.openxmlformats.org/officeDocument/2006/relationships/hyperlink" Target="https://www.linkedin.com/company/century-plyboards-limited" TargetMode="External" Id="rId92"/><Relationship Type="http://schemas.openxmlformats.org/officeDocument/2006/relationships/hyperlink" Target="https://in.linkedin.com/in/dr-sandip-pradhan-208420118" TargetMode="External" Id="rId93"/><Relationship Type="http://schemas.openxmlformats.org/officeDocument/2006/relationships/hyperlink" Target="https://www.linkedin.com/company/century-plyboards-limited" TargetMode="External" Id="rId94"/><Relationship Type="http://schemas.openxmlformats.org/officeDocument/2006/relationships/hyperlink" Target="https://in.linkedin.com/in/aditya-gupta-a1816942" TargetMode="External" Id="rId95"/><Relationship Type="http://schemas.openxmlformats.org/officeDocument/2006/relationships/hyperlink" Target="https://www.linkedin.com/company/century-plyboards-limited" TargetMode="External" Id="rId96"/><Relationship Type="http://schemas.openxmlformats.org/officeDocument/2006/relationships/hyperlink" Target="https://in.linkedin.com/in/nikita-agarwal-bansal" TargetMode="External" Id="rId97"/><Relationship Type="http://schemas.openxmlformats.org/officeDocument/2006/relationships/hyperlink" Target="https://www.linkedin.com/company/century-plyboards-limited" TargetMode="External" Id="rId98"/><Relationship Type="http://schemas.openxmlformats.org/officeDocument/2006/relationships/hyperlink" Target="https://in.linkedin.com/in/sudip-das-0261b663" TargetMode="External" Id="rId99"/><Relationship Type="http://schemas.openxmlformats.org/officeDocument/2006/relationships/hyperlink" Target="https://www.linkedin.com/company/century-plyboards-limited" TargetMode="External" Id="rId100"/><Relationship Type="http://schemas.openxmlformats.org/officeDocument/2006/relationships/hyperlink" Target="https://in.linkedin.com/in/srivats-ram-98b60a8" TargetMode="External" Id="rId101"/><Relationship Type="http://schemas.openxmlformats.org/officeDocument/2006/relationships/hyperlink" Target="https://www.linkedin.com/company/wheelsindialimited" TargetMode="External" Id="rId102"/><Relationship Type="http://schemas.openxmlformats.org/officeDocument/2006/relationships/hyperlink" Target="https://in.linkedin.com/in/sanjay-pande-6232b039" TargetMode="External" Id="rId103"/><Relationship Type="http://schemas.openxmlformats.org/officeDocument/2006/relationships/hyperlink" Target="https://www.linkedin.com/company/wheelsindialimited" TargetMode="External" Id="rId104"/><Relationship Type="http://schemas.openxmlformats.org/officeDocument/2006/relationships/hyperlink" Target="https://in.linkedin.com/in/sundar-m-511b272a2" TargetMode="External" Id="rId105"/><Relationship Type="http://schemas.openxmlformats.org/officeDocument/2006/relationships/hyperlink" Target="https://www.linkedin.com/company/wheelsindialimited" TargetMode="External" Id="rId106"/><Relationship Type="http://schemas.openxmlformats.org/officeDocument/2006/relationships/hyperlink" Target="https://in.linkedin.com/in/rajasekar-lakshmanan-83528b19" TargetMode="External" Id="rId107"/><Relationship Type="http://schemas.openxmlformats.org/officeDocument/2006/relationships/hyperlink" Target="https://www.linkedin.com/company/wheelsindialimited" TargetMode="External" Id="rId108"/><Relationship Type="http://schemas.openxmlformats.org/officeDocument/2006/relationships/hyperlink" Target="https://in.linkedin.com/in/rajeev-kapoor-ba209935" TargetMode="External" Id="rId109"/><Relationship Type="http://schemas.openxmlformats.org/officeDocument/2006/relationships/hyperlink" Target="https://www.linkedin.com/company/wheelsindialimited" TargetMode="External" Id="rId110"/><Relationship Type="http://schemas.openxmlformats.org/officeDocument/2006/relationships/hyperlink" Target="https://in.linkedin.com/in/mohan-joshi-44290a218" TargetMode="External" Id="rId111"/><Relationship Type="http://schemas.openxmlformats.org/officeDocument/2006/relationships/hyperlink" Target="https://www.linkedin.com/company/steel-strips-wheels-limited" TargetMode="External" Id="rId112"/><Relationship Type="http://schemas.openxmlformats.org/officeDocument/2006/relationships/hyperlink" Target="https://in.linkedin.com/in/sushil-gupta-5115141a" TargetMode="External" Id="rId113"/><Relationship Type="http://schemas.openxmlformats.org/officeDocument/2006/relationships/hyperlink" Target="https://www.linkedin.com/company/steel-strips-wheels-limited" TargetMode="External" Id="rId114"/><Relationship Type="http://schemas.openxmlformats.org/officeDocument/2006/relationships/hyperlink" Target="https://in.linkedin.com/in/sanjay-singh-3459a562" TargetMode="External" Id="rId115"/><Relationship Type="http://schemas.openxmlformats.org/officeDocument/2006/relationships/hyperlink" Target="https://www.linkedin.com/company/steel-strips-wheels-limited" TargetMode="External" Id="rId116"/><Relationship Type="http://schemas.openxmlformats.org/officeDocument/2006/relationships/hyperlink" Target="https://in.linkedin.com/in/rajesh-trikha-a16324269" TargetMode="External" Id="rId117"/><Relationship Type="http://schemas.openxmlformats.org/officeDocument/2006/relationships/hyperlink" Target="https://www.linkedin.com/company/steel-strips-wheels-limited" TargetMode="External" Id="rId118"/><Relationship Type="http://schemas.openxmlformats.org/officeDocument/2006/relationships/hyperlink" Target="https://in.linkedin.com/in/rajith-m-k-263b5565" TargetMode="External" Id="rId119"/><Relationship Type="http://schemas.openxmlformats.org/officeDocument/2006/relationships/hyperlink" Target="https://www.linkedin.com/company/steel-strips-wheels-limited" TargetMode="External" Id="rId120"/><Relationship Type="http://schemas.openxmlformats.org/officeDocument/2006/relationships/hyperlink" Target="https://in.linkedin.com/in/rajesh-jindal-28635720" TargetMode="External" Id="rId121"/><Relationship Type="http://schemas.openxmlformats.org/officeDocument/2006/relationships/hyperlink" Target="https://www.linkedin.com/company/steel-strips-wheels-limited" TargetMode="External" Id="rId122"/><Relationship Type="http://schemas.openxmlformats.org/officeDocument/2006/relationships/hyperlink" Target="https://in.linkedin.com/in/aditya-dixit-60525116" TargetMode="External" Id="rId123"/><Relationship Type="http://schemas.openxmlformats.org/officeDocument/2006/relationships/hyperlink" Target="https://www.linkedin.com/company/steel-strips-wheels-limited" TargetMode="External" Id="rId124"/><Relationship Type="http://schemas.openxmlformats.org/officeDocument/2006/relationships/hyperlink" Target="https://in.linkedin.com/in/udaya-kumar-0134591b0" TargetMode="External" Id="rId125"/><Relationship Type="http://schemas.openxmlformats.org/officeDocument/2006/relationships/hyperlink" Target="https://www.linkedin.com/company/steel-strips-wheels-limited" TargetMode="External" Id="rId126"/></Relationships>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36" customWidth="1" min="1" max="1"/>
    <col width="17" customWidth="1" min="2" max="2"/>
    <col width="30" customWidth="1" min="3" max="3"/>
    <col width="16" customWidth="1" min="4" max="4"/>
    <col width="21" customWidth="1" min="5" max="5"/>
    <col width="17" customWidth="1" min="6" max="6"/>
    <col width="20" customWidth="1" min="7" max="7"/>
    <col width="60" customWidth="1" min="8" max="8"/>
    <col width="12" customWidth="1" min="9" max="9"/>
    <col width="22" customWidth="1" min="10" max="10"/>
    <col width="22" customWidth="1" min="11" max="11"/>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Location</t>
        </is>
      </c>
      <c r="H1" s="1" t="inlineStr">
        <is>
          <t>Business Summary</t>
        </is>
      </c>
      <c r="I1" s="1" t="inlineStr">
        <is>
          <t>Website</t>
        </is>
      </c>
      <c r="J1" s="1" t="inlineStr">
        <is>
          <t>LinkedIn (Verified)</t>
        </is>
      </c>
      <c r="K1" s="1" t="inlineStr">
        <is>
          <t>LinkedIn Confirmed?</t>
        </is>
      </c>
    </row>
    <row r="2">
      <c r="A2" t="inlineStr">
        <is>
          <t>Astral Limited</t>
        </is>
      </c>
      <c r="B2" t="inlineStr">
        <is>
          <t>NSE:ASTRAL</t>
        </is>
      </c>
      <c r="C2" t="inlineStr">
        <is>
          <t>Miscellaneous Manufacturing</t>
        </is>
      </c>
      <c r="D2" t="n">
        <v>65686000000</v>
      </c>
      <c r="E2" t="n">
        <v>5366000000</v>
      </c>
      <c r="F2" t="n">
        <v>4899</v>
      </c>
      <c r="G2" t="inlineStr">
        <is>
          <t>Ahmedabad, India</t>
        </is>
      </c>
      <c r="H2" t="inlineStr">
        <is>
          <t>Astral Limited engages in the manufacture and marketing of pipes and fittings, water tanks, and adhesives and sealants in India and internationally. It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specialised, industrial adhesives, and epoxy putty; specialized valves, such as compact true, single union, and industrial ball valves; construction chemicals comprising bathroom and basement waterproofing, tile adhesives and grouts, exterior roof and wall coatings, polymers and integral compounds, and repair products; and infrastructure products comprising drainage, cable protection, and PT duct systems; and specialised fittings, such as electrofusion, compression, PPR fittings, integrated and mechanica clamp, integrated composite strap-on saddles, PVC conduit for concealed wiring system, and investment castings. The company was formerly known as Astral Poly Technik Limited and changed its name to Astral Limited in April 2021. Astral Limited was incorporated in 1996 and is headquartered in Ahmedabad, India.</t>
        </is>
      </c>
      <c r="I2" s="2">
        <f>HYPERLINK("https://astralltd.com", "https://astralltd.com")</f>
        <v/>
      </c>
      <c r="J2" s="2">
        <f>HYPERLINK("https://www.linkedin.com/company/astralpipesofficial", "https://www.linkedin.com/company/astralpipesofficial")</f>
        <v/>
      </c>
      <c r="K2" s="3" t="inlineStr">
        <is>
          <t>Verified</t>
        </is>
      </c>
    </row>
    <row r="3">
      <c r="A3" t="inlineStr">
        <is>
          <t>V-Guard Industries Limited</t>
        </is>
      </c>
      <c r="B3" t="inlineStr">
        <is>
          <t>NSE:VGUARD</t>
        </is>
      </c>
      <c r="C3" t="inlineStr">
        <is>
          <t>Electrical Products</t>
        </is>
      </c>
      <c r="D3" t="n">
        <v>63103500000</v>
      </c>
      <c r="E3" t="n">
        <v>3647300000</v>
      </c>
      <c r="F3" t="n">
        <v>3219</v>
      </c>
      <c r="G3" t="inlineStr">
        <is>
          <t>Kochi, India</t>
        </is>
      </c>
      <c r="H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I3" s="2">
        <f>HYPERLINK("https://www.vguard.in", "https://www.vguard.in")</f>
        <v/>
      </c>
      <c r="J3" s="2">
        <f>HYPERLINK("https://www.linkedin.com/company/v-guard", "https://www.linkedin.com/company/v-guard")</f>
        <v/>
      </c>
      <c r="K3" s="3" t="inlineStr">
        <is>
          <t>Verified</t>
        </is>
      </c>
    </row>
    <row r="4">
      <c r="A4" t="inlineStr">
        <is>
          <t>Sundram Fasteners Limited</t>
        </is>
      </c>
      <c r="B4" t="inlineStr">
        <is>
          <t>BSE:SUNDRMFAST</t>
        </is>
      </c>
      <c r="C4" t="inlineStr">
        <is>
          <t>Auto Parts: OEM</t>
        </is>
      </c>
      <c r="D4" t="n">
        <v>62888200000</v>
      </c>
      <c r="E4" t="n">
        <v>5911900000</v>
      </c>
      <c r="F4" t="n">
        <v>3185</v>
      </c>
      <c r="G4" t="inlineStr">
        <is>
          <t>Chennai, India</t>
        </is>
      </c>
      <c r="H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bearing housings, spokes and nipples, automobile kits, dowels and rollers, small screws, and tools, as well as precision forged components for use in heavy vehicles for on-highway and off-highway applications; and provides financial and software services. Sundram Fasteners Limited was incorporated in 1962 and is headquartered in Chennai, India.</t>
        </is>
      </c>
      <c r="I4" s="2">
        <f>HYPERLINK("https://www.sundram.com", "https://www.sundram.com")</f>
        <v/>
      </c>
      <c r="J4" s="2">
        <f>HYPERLINK("https://www.linkedin.com/company/sundram-fasteners", "https://www.linkedin.com/company/sundram-fasteners")</f>
        <v/>
      </c>
      <c r="K4" s="3" t="inlineStr">
        <is>
          <t>Verified</t>
        </is>
      </c>
    </row>
    <row r="5">
      <c r="A5" t="inlineStr">
        <is>
          <t>JBM Auto Limited</t>
        </is>
      </c>
      <c r="B5" t="inlineStr">
        <is>
          <t>BSE:JBMA</t>
        </is>
      </c>
      <c r="C5" t="inlineStr">
        <is>
          <t>Auto Parts: OEM</t>
        </is>
      </c>
      <c r="D5" t="n">
        <v>62769400000</v>
      </c>
      <c r="E5" t="n">
        <v>2241800000</v>
      </c>
      <c r="F5" t="n">
        <v>3555</v>
      </c>
      <c r="G5" t="inlineStr">
        <is>
          <t>Gurugram, India</t>
        </is>
      </c>
      <c r="H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I5" s="2">
        <f>HYPERLINK("https://www.jbmgroup.com", "https://www.jbmgroup.com")</f>
        <v/>
      </c>
      <c r="J5" s="2">
        <f>HYPERLINK("https://www.linkedin.com/company/jbm-group", "https://www.linkedin.com/company/jbm-group")</f>
        <v/>
      </c>
      <c r="K5" s="3" t="inlineStr">
        <is>
          <t>Verified</t>
        </is>
      </c>
    </row>
    <row r="6">
      <c r="A6" t="inlineStr">
        <is>
          <t>Minda Corporation Limited</t>
        </is>
      </c>
      <c r="B6" t="inlineStr">
        <is>
          <t>NSE:MINDACORP</t>
        </is>
      </c>
      <c r="C6" t="inlineStr">
        <is>
          <t>Auto Parts: OEM</t>
        </is>
      </c>
      <c r="D6" t="n">
        <v>61853400000</v>
      </c>
      <c r="E6" t="n">
        <v>3602600000</v>
      </c>
      <c r="F6" t="n">
        <v>3405</v>
      </c>
      <c r="G6" t="inlineStr">
        <is>
          <t>Noida, India</t>
        </is>
      </c>
      <c r="H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I6" s="2">
        <f>HYPERLINK("https://sparkminda.com", "https://sparkminda.com")</f>
        <v/>
      </c>
      <c r="J6" s="2">
        <f>HYPERLINK("https://www.linkedin.com/company/sparkminda", "https://www.linkedin.com/company/sparkminda")</f>
        <v/>
      </c>
      <c r="K6" s="3" t="inlineStr">
        <is>
          <t>Verified</t>
        </is>
      </c>
    </row>
    <row r="7">
      <c r="A7" t="inlineStr">
        <is>
          <t>Ram Ratna Wires Limited</t>
        </is>
      </c>
      <c r="B7" t="inlineStr">
        <is>
          <t>BSE:RAMRAT</t>
        </is>
      </c>
      <c r="C7" t="inlineStr">
        <is>
          <t>Electrical Products</t>
        </is>
      </c>
      <c r="D7" t="n">
        <v>60474618000</v>
      </c>
      <c r="E7" t="n">
        <v>1268083000</v>
      </c>
      <c r="F7" t="n">
        <v>1288</v>
      </c>
      <c r="G7" t="inlineStr">
        <is>
          <t>Mumbai, India</t>
        </is>
      </c>
      <c r="H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I7" s="2">
        <f>HYPERLINK("https://www.rrshramik.com", "https://www.rrshramik.com")</f>
        <v/>
      </c>
      <c r="J7" s="2">
        <f>HYPERLINK("https://www.linkedin.com/company/rr-sharamik", "https://www.linkedin.com/company/rr-sharamik")</f>
        <v/>
      </c>
      <c r="K7" s="3" t="inlineStr">
        <is>
          <t>Verified</t>
        </is>
      </c>
    </row>
    <row r="8">
      <c r="A8" t="inlineStr">
        <is>
          <t>Rane Holdings Limited</t>
        </is>
      </c>
      <c r="B8" t="inlineStr">
        <is>
          <t>BSE:RANEHOLDIN</t>
        </is>
      </c>
      <c r="C8" t="inlineStr">
        <is>
          <t>Auto Parts: OEM</t>
        </is>
      </c>
      <c r="D8" t="n">
        <v>58833100000</v>
      </c>
      <c r="E8" t="n">
        <v>978700000</v>
      </c>
      <c r="F8" t="n">
        <v>130</v>
      </c>
      <c r="G8" t="inlineStr">
        <is>
          <t>Chennai, India</t>
        </is>
      </c>
      <c r="H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I8" s="2">
        <f>HYPERLINK("https://www.ranegroup.com", "https://www.ranegroup.com")</f>
        <v/>
      </c>
      <c r="J8" s="2">
        <f>HYPERLINK("https://www.linkedin.com/company/rane-holdings-limited", "https://www.linkedin.com/company/rane-holdings-limited")</f>
        <v/>
      </c>
      <c r="K8" s="3" t="inlineStr">
        <is>
          <t>Verified</t>
        </is>
      </c>
    </row>
    <row r="9">
      <c r="A9" t="inlineStr">
        <is>
          <t>Century Plyboards (India) Limited</t>
        </is>
      </c>
      <c r="B9" t="inlineStr">
        <is>
          <t>BSE:CENTURYPLY</t>
        </is>
      </c>
      <c r="C9" t="inlineStr">
        <is>
          <t>Building Products</t>
        </is>
      </c>
      <c r="D9" t="n">
        <v>57892045000</v>
      </c>
      <c r="E9" t="n">
        <v>2911405000</v>
      </c>
      <c r="F9" t="inlineStr"/>
      <c r="G9" t="inlineStr">
        <is>
          <t>Kolkata, India</t>
        </is>
      </c>
      <c r="H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I9" s="2">
        <f>HYPERLINK("https://www.centuryply.com", "https://www.centuryply.com")</f>
        <v/>
      </c>
      <c r="J9" s="2">
        <f>HYPERLINK("https://www.linkedin.com/company/century-plyboards-limited", "https://www.linkedin.com/company/century-plyboards-limited")</f>
        <v/>
      </c>
      <c r="K9" s="3" t="inlineStr">
        <is>
          <t>Verified</t>
        </is>
      </c>
    </row>
    <row r="10">
      <c r="A10" t="inlineStr">
        <is>
          <t>Wheels India Limited</t>
        </is>
      </c>
      <c r="B10" t="inlineStr">
        <is>
          <t>BSE:WHEELS</t>
        </is>
      </c>
      <c r="C10" t="inlineStr">
        <is>
          <t>Auto Parts: OEM</t>
        </is>
      </c>
      <c r="D10" t="n">
        <v>56904400000</v>
      </c>
      <c r="E10" t="n">
        <v>1634600000</v>
      </c>
      <c r="F10" t="n">
        <v>2735</v>
      </c>
      <c r="G10" t="inlineStr">
        <is>
          <t>Chennai, India</t>
        </is>
      </c>
      <c r="H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I10" s="2">
        <f>HYPERLINK("https://www.wheelsindia.com", "https://www.wheelsindia.com")</f>
        <v/>
      </c>
      <c r="J10" s="2">
        <f>HYPERLINK("https://www.linkedin.com/company/wheelsindialimited", "https://www.linkedin.com/company/wheelsindialimited")</f>
        <v/>
      </c>
      <c r="K10" s="3" t="inlineStr">
        <is>
          <t>Verified</t>
        </is>
      </c>
    </row>
    <row r="11">
      <c r="A11" t="inlineStr">
        <is>
          <t>Steel Strips Wheels Limited</t>
        </is>
      </c>
      <c r="B11" t="inlineStr">
        <is>
          <t>BSE:SSWL</t>
        </is>
      </c>
      <c r="C11" t="inlineStr">
        <is>
          <t>Auto Parts: OEM</t>
        </is>
      </c>
      <c r="D11" t="n">
        <v>55058362000</v>
      </c>
      <c r="E11" t="n">
        <v>2124273000</v>
      </c>
      <c r="F11" t="inlineStr"/>
      <c r="G11" t="inlineStr">
        <is>
          <t>Chandigarh, India</t>
        </is>
      </c>
      <c r="H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I11" s="2">
        <f>HYPERLINK("https://sswlindia.com", "https://sswlindia.com")</f>
        <v/>
      </c>
      <c r="J11" s="2">
        <f>HYPERLINK("https://www.linkedin.com/company/steel-strips-wheels-limited", "https://www.linkedin.com/company/steel-strips-wheels-limited")</f>
        <v/>
      </c>
      <c r="K11" s="3" t="inlineStr">
        <is>
          <t>Verified</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F92"/>
  <sheetViews>
    <sheetView showGridLines="0" workbookViewId="0">
      <selection activeCell="A1" sqref="A1"/>
    </sheetView>
  </sheetViews>
  <sheetFormatPr baseColWidth="8" defaultRowHeight="15"/>
  <cols>
    <col width="6" customWidth="1" min="1" max="1"/>
    <col width="28" customWidth="1" min="2" max="2"/>
    <col width="50" customWidth="1" min="3" max="3"/>
    <col width="45" customWidth="1" min="4" max="4"/>
    <col width="45" customWidth="1" min="5" max="5"/>
    <col width="18" customWidth="1" min="6" max="6"/>
  </cols>
  <sheetData>
    <row r="1" ht="28" customHeight="1">
      <c r="A1" s="4" t="inlineStr">
        <is>
          <t xml:space="preserve">  ▸ Astral Limited  (7 contacts)</t>
        </is>
      </c>
      <c r="B1" s="5" t="n"/>
      <c r="C1" s="5" t="n"/>
      <c r="D1" s="5" t="n"/>
      <c r="E1" s="5" t="n"/>
      <c r="F1" s="5" t="n"/>
    </row>
    <row r="2" hidden="1" outlineLevel="1">
      <c r="A2" s="6" t="inlineStr">
        <is>
          <t>#</t>
        </is>
      </c>
      <c r="B2" s="6" t="inlineStr">
        <is>
          <t>Name</t>
        </is>
      </c>
      <c r="C2" s="6" t="inlineStr">
        <is>
          <t>Position</t>
        </is>
      </c>
      <c r="D2" s="6" t="inlineStr">
        <is>
          <t>LinkedIn (Person)</t>
        </is>
      </c>
      <c r="E2" s="6" t="inlineStr">
        <is>
          <t>Company LinkedIn</t>
        </is>
      </c>
      <c r="F2" s="6" t="inlineStr">
        <is>
          <t>Location</t>
        </is>
      </c>
    </row>
    <row r="3" hidden="1" outlineLevel="1">
      <c r="A3" s="7" t="n">
        <v>1</v>
      </c>
      <c r="B3" s="8" t="inlineStr">
        <is>
          <t>Saumya Engineer</t>
        </is>
      </c>
      <c r="C3" s="8" t="inlineStr">
        <is>
          <t>Chief Executive Officer - Adhesives &amp; Paints, Astral Limited</t>
        </is>
      </c>
      <c r="D3" s="9" t="inlineStr">
        <is>
          <t>Saumya Engineer</t>
        </is>
      </c>
      <c r="E3" s="9" t="inlineStr">
        <is>
          <t>Astral Limited</t>
        </is>
      </c>
      <c r="F3" s="7" t="inlineStr">
        <is>
          <t>Ahmedabad, India</t>
        </is>
      </c>
    </row>
    <row r="4" hidden="1" outlineLevel="1">
      <c r="A4" s="10" t="n">
        <v>2</v>
      </c>
      <c r="B4" s="11" t="inlineStr">
        <is>
          <t>Jitendra Asopa</t>
        </is>
      </c>
      <c r="C4" s="11" t="inlineStr">
        <is>
          <t>Vice President - Emerging Business and Customer Centricity, Astral Limited</t>
        </is>
      </c>
      <c r="D4" s="12" t="inlineStr">
        <is>
          <t>Jitendra Asopa</t>
        </is>
      </c>
      <c r="E4" s="12" t="inlineStr">
        <is>
          <t>Astral Limited</t>
        </is>
      </c>
      <c r="F4" s="10" t="inlineStr">
        <is>
          <t>Ahmedabad, India</t>
        </is>
      </c>
    </row>
    <row r="5" hidden="1" outlineLevel="1">
      <c r="A5" s="7" t="n">
        <v>3</v>
      </c>
      <c r="B5" s="8" t="inlineStr">
        <is>
          <t>Vikas Sharma</t>
        </is>
      </c>
      <c r="C5" s="8" t="inlineStr">
        <is>
          <t>Vice President (Projects), Astral Limited</t>
        </is>
      </c>
      <c r="D5" s="9" t="inlineStr">
        <is>
          <t>Vikas Sharma</t>
        </is>
      </c>
      <c r="E5" s="9" t="inlineStr">
        <is>
          <t>Astral Limited</t>
        </is>
      </c>
      <c r="F5" s="7" t="inlineStr">
        <is>
          <t>Ahmedabad, India</t>
        </is>
      </c>
    </row>
    <row r="6" hidden="1" outlineLevel="1">
      <c r="A6" s="10" t="n">
        <v>4</v>
      </c>
      <c r="B6" s="11" t="inlineStr">
        <is>
          <t>Viral Mankodi</t>
        </is>
      </c>
      <c r="C6" s="11" t="inlineStr">
        <is>
          <t>General Manager - HR, Corporate Office, Astral Limited</t>
        </is>
      </c>
      <c r="D6" s="12" t="inlineStr">
        <is>
          <t>Viral Mankodi</t>
        </is>
      </c>
      <c r="E6" s="12" t="inlineStr">
        <is>
          <t>Astral Limited</t>
        </is>
      </c>
      <c r="F6" s="10" t="inlineStr">
        <is>
          <t>Ahmedabad, India</t>
        </is>
      </c>
    </row>
    <row r="7" hidden="1" outlineLevel="1">
      <c r="A7" s="7" t="n">
        <v>5</v>
      </c>
      <c r="B7" s="8" t="inlineStr">
        <is>
          <t>Yogesh Kakra</t>
        </is>
      </c>
      <c r="C7" s="8" t="inlineStr">
        <is>
          <t>Manager, Astral Adhesives</t>
        </is>
      </c>
      <c r="D7" s="9" t="inlineStr">
        <is>
          <t>Yogesh Kakra</t>
        </is>
      </c>
      <c r="E7" s="9" t="inlineStr">
        <is>
          <t>Astral Limited</t>
        </is>
      </c>
      <c r="F7" s="7" t="inlineStr">
        <is>
          <t>Ahmedabad, India</t>
        </is>
      </c>
    </row>
    <row r="8" hidden="1" outlineLevel="1">
      <c r="A8" s="10" t="n">
        <v>6</v>
      </c>
      <c r="B8" s="11" t="inlineStr">
        <is>
          <t>Praveen Dubey</t>
        </is>
      </c>
      <c r="C8" s="11" t="inlineStr">
        <is>
          <t>Manager - Marketing, Astral Limited</t>
        </is>
      </c>
      <c r="D8" s="12" t="inlineStr">
        <is>
          <t>Praveen Dubey</t>
        </is>
      </c>
      <c r="E8" s="12" t="inlineStr">
        <is>
          <t>Astral Limited</t>
        </is>
      </c>
      <c r="F8" s="10" t="inlineStr">
        <is>
          <t>Ahmedabad, India</t>
        </is>
      </c>
    </row>
    <row r="9" hidden="1" outlineLevel="1">
      <c r="A9" s="7" t="n">
        <v>7</v>
      </c>
      <c r="B9" s="8" t="inlineStr">
        <is>
          <t>Jay S K</t>
        </is>
      </c>
      <c r="C9" s="8" t="inlineStr">
        <is>
          <t>Manager - Marketing Communications, Astral Limited</t>
        </is>
      </c>
      <c r="D9" s="9" t="inlineStr">
        <is>
          <t>Jay S K</t>
        </is>
      </c>
      <c r="E9" s="9" t="inlineStr">
        <is>
          <t>Astral Limited</t>
        </is>
      </c>
      <c r="F9" s="7" t="inlineStr">
        <is>
          <t>Ahmedabad, India</t>
        </is>
      </c>
    </row>
    <row r="11" ht="28" customHeight="1">
      <c r="A11" s="4" t="inlineStr">
        <is>
          <t xml:space="preserve">  ▸ V-Guard Industries Limited  (5 contacts)</t>
        </is>
      </c>
      <c r="B11" s="5" t="n"/>
      <c r="C11" s="5" t="n"/>
      <c r="D11" s="5" t="n"/>
      <c r="E11" s="5" t="n"/>
      <c r="F11" s="5" t="n"/>
    </row>
    <row r="12" hidden="1" outlineLevel="1">
      <c r="A12" s="6" t="inlineStr">
        <is>
          <t>#</t>
        </is>
      </c>
      <c r="B12" s="6" t="inlineStr">
        <is>
          <t>Name</t>
        </is>
      </c>
      <c r="C12" s="6" t="inlineStr">
        <is>
          <t>Position</t>
        </is>
      </c>
      <c r="D12" s="6" t="inlineStr">
        <is>
          <t>LinkedIn (Person)</t>
        </is>
      </c>
      <c r="E12" s="6" t="inlineStr">
        <is>
          <t>Company LinkedIn</t>
        </is>
      </c>
      <c r="F12" s="6" t="inlineStr">
        <is>
          <t>Location</t>
        </is>
      </c>
    </row>
    <row r="13" hidden="1" outlineLevel="1">
      <c r="A13" s="7" t="n">
        <v>1</v>
      </c>
      <c r="B13" s="8" t="inlineStr">
        <is>
          <t>Mithun Chittilappilly</t>
        </is>
      </c>
      <c r="C13" s="8" t="inlineStr">
        <is>
          <t>Managing Director</t>
        </is>
      </c>
      <c r="D13" s="9" t="inlineStr">
        <is>
          <t>Mithun Chittilappilly</t>
        </is>
      </c>
      <c r="E13" s="9" t="inlineStr">
        <is>
          <t>V-Guard Industries Limited</t>
        </is>
      </c>
      <c r="F13" s="7" t="inlineStr">
        <is>
          <t>Kochi, India</t>
        </is>
      </c>
    </row>
    <row r="14" hidden="1" outlineLevel="1">
      <c r="A14" s="10" t="n">
        <v>2</v>
      </c>
      <c r="B14" s="11" t="inlineStr">
        <is>
          <t>Anjana Narwal</t>
        </is>
      </c>
      <c r="C14" s="11" t="inlineStr">
        <is>
          <t>Member (Board director) &amp; Head - Quality Operations, Excellence and Product Reliability</t>
        </is>
      </c>
      <c r="D14" s="12" t="inlineStr">
        <is>
          <t>Anjana Narwal</t>
        </is>
      </c>
      <c r="E14" s="12" t="inlineStr">
        <is>
          <t>V-Guard Industries Limited</t>
        </is>
      </c>
      <c r="F14" s="10" t="inlineStr">
        <is>
          <t>Kochi, India</t>
        </is>
      </c>
    </row>
    <row r="15" hidden="1" outlineLevel="1">
      <c r="A15" s="7" t="n">
        <v>3</v>
      </c>
      <c r="B15" s="8" t="inlineStr">
        <is>
          <t>Sundaresh Holla</t>
        </is>
      </c>
      <c r="C15" s="8" t="inlineStr">
        <is>
          <t>Assistant Vice President</t>
        </is>
      </c>
      <c r="D15" s="9" t="inlineStr">
        <is>
          <t>Sundaresh Holla</t>
        </is>
      </c>
      <c r="E15" s="9" t="inlineStr">
        <is>
          <t>V-Guard Industries Limited</t>
        </is>
      </c>
      <c r="F15" s="7" t="inlineStr">
        <is>
          <t>Kochi, India</t>
        </is>
      </c>
    </row>
    <row r="16" hidden="1" outlineLevel="1">
      <c r="A16" s="10" t="n">
        <v>4</v>
      </c>
      <c r="B16" s="11" t="inlineStr">
        <is>
          <t>Kapil Sharma</t>
        </is>
      </c>
      <c r="C16" s="11" t="inlineStr">
        <is>
          <t>Lead - Research &amp; Development (Switches)</t>
        </is>
      </c>
      <c r="D16" s="12" t="inlineStr">
        <is>
          <t>Kapil Sharma</t>
        </is>
      </c>
      <c r="E16" s="12" t="inlineStr">
        <is>
          <t>V-Guard Industries Limited</t>
        </is>
      </c>
      <c r="F16" s="10" t="inlineStr">
        <is>
          <t>Kochi, India</t>
        </is>
      </c>
    </row>
    <row r="17" hidden="1" outlineLevel="1">
      <c r="A17" s="7" t="n">
        <v>5</v>
      </c>
      <c r="B17" s="8" t="inlineStr">
        <is>
          <t>Ramachandran Venkataraman</t>
        </is>
      </c>
      <c r="C17" s="8" t="inlineStr">
        <is>
          <t>Director &amp; Chief Operating Officer (Director, V-Guard Industries Ltd)</t>
        </is>
      </c>
      <c r="D17" s="9" t="inlineStr">
        <is>
          <t>Ramachandran Venkataraman</t>
        </is>
      </c>
      <c r="E17" s="9" t="inlineStr">
        <is>
          <t>V-Guard Industries Limited</t>
        </is>
      </c>
      <c r="F17" s="7" t="inlineStr">
        <is>
          <t>Kochi, India</t>
        </is>
      </c>
    </row>
    <row r="19" ht="28" customHeight="1">
      <c r="A19" s="4" t="inlineStr">
        <is>
          <t xml:space="preserve">  ▸ Sundram Fasteners Limited  (7 contacts)</t>
        </is>
      </c>
      <c r="B19" s="5" t="n"/>
      <c r="C19" s="5" t="n"/>
      <c r="D19" s="5" t="n"/>
      <c r="E19" s="5" t="n"/>
      <c r="F19" s="5" t="n"/>
    </row>
    <row r="20" hidden="1" outlineLevel="1">
      <c r="A20" s="6" t="inlineStr">
        <is>
          <t>#</t>
        </is>
      </c>
      <c r="B20" s="6" t="inlineStr">
        <is>
          <t>Name</t>
        </is>
      </c>
      <c r="C20" s="6" t="inlineStr">
        <is>
          <t>Position</t>
        </is>
      </c>
      <c r="D20" s="6" t="inlineStr">
        <is>
          <t>LinkedIn (Person)</t>
        </is>
      </c>
      <c r="E20" s="6" t="inlineStr">
        <is>
          <t>Company LinkedIn</t>
        </is>
      </c>
      <c r="F20" s="6" t="inlineStr">
        <is>
          <t>Location</t>
        </is>
      </c>
    </row>
    <row r="21" hidden="1" outlineLevel="1">
      <c r="A21" s="7" t="n">
        <v>1</v>
      </c>
      <c r="B21" s="8" t="inlineStr">
        <is>
          <t>S V Mahesh</t>
        </is>
      </c>
      <c r="C21" s="8" t="inlineStr">
        <is>
          <t>Executive Director</t>
        </is>
      </c>
      <c r="D21" s="9" t="inlineStr">
        <is>
          <t>S V Mahesh</t>
        </is>
      </c>
      <c r="E21" s="9" t="inlineStr">
        <is>
          <t>Sundram Fasteners Limited</t>
        </is>
      </c>
      <c r="F21" s="7" t="inlineStr">
        <is>
          <t>Chennai, India</t>
        </is>
      </c>
    </row>
    <row r="22" hidden="1" outlineLevel="1">
      <c r="A22" s="10" t="n">
        <v>2</v>
      </c>
      <c r="B22" s="11" t="inlineStr">
        <is>
          <t>Krishnan Ramanujan</t>
        </is>
      </c>
      <c r="C22" s="11" t="inlineStr">
        <is>
          <t>Executive Vice President - Marketing</t>
        </is>
      </c>
      <c r="D22" s="12" t="inlineStr">
        <is>
          <t>Krishnan Ramanujan</t>
        </is>
      </c>
      <c r="E22" s="12" t="inlineStr">
        <is>
          <t>Sundram Fasteners Limited</t>
        </is>
      </c>
      <c r="F22" s="10" t="inlineStr">
        <is>
          <t>Chennai, India</t>
        </is>
      </c>
    </row>
    <row r="23" hidden="1" outlineLevel="1">
      <c r="A23" s="7" t="n">
        <v>3</v>
      </c>
      <c r="B23" s="8" t="inlineStr">
        <is>
          <t>Dr. Ramesh S</t>
        </is>
      </c>
      <c r="C23" s="8" t="inlineStr">
        <is>
          <t>Executive Vice President - Operations</t>
        </is>
      </c>
      <c r="D23" s="9" t="inlineStr">
        <is>
          <t>Dr. Ramesh S</t>
        </is>
      </c>
      <c r="E23" s="9" t="inlineStr">
        <is>
          <t>Sundram Fasteners Limited</t>
        </is>
      </c>
      <c r="F23" s="7" t="inlineStr">
        <is>
          <t>Chennai, India</t>
        </is>
      </c>
    </row>
    <row r="24" hidden="1" outlineLevel="1">
      <c r="A24" s="10" t="n">
        <v>4</v>
      </c>
      <c r="B24" s="11" t="inlineStr">
        <is>
          <t>M. Sundaram Srinivasan</t>
        </is>
      </c>
      <c r="C24" s="11" t="inlineStr">
        <is>
          <t>Vice President - Finance</t>
        </is>
      </c>
      <c r="D24" s="12" t="inlineStr">
        <is>
          <t>M. Sundaram Srinivasan</t>
        </is>
      </c>
      <c r="E24" s="12" t="inlineStr">
        <is>
          <t>Sundram Fasteners Limited</t>
        </is>
      </c>
      <c r="F24" s="10" t="inlineStr">
        <is>
          <t>Chennai, India</t>
        </is>
      </c>
    </row>
    <row r="25" hidden="1" outlineLevel="1">
      <c r="A25" s="7" t="n">
        <v>5</v>
      </c>
      <c r="B25" s="8" t="inlineStr">
        <is>
          <t>Vaitheeshkumar Subramanian</t>
        </is>
      </c>
      <c r="C25" s="8" t="inlineStr">
        <is>
          <t>Vice President</t>
        </is>
      </c>
      <c r="D25" s="9" t="inlineStr">
        <is>
          <t>Vaitheeshkumar Subramanian</t>
        </is>
      </c>
      <c r="E25" s="9" t="inlineStr">
        <is>
          <t>Sundram Fasteners Limited</t>
        </is>
      </c>
      <c r="F25" s="7" t="inlineStr">
        <is>
          <t>Chennai, India</t>
        </is>
      </c>
    </row>
    <row r="26" hidden="1" outlineLevel="1">
      <c r="A26" s="10" t="n">
        <v>6</v>
      </c>
      <c r="B26" s="11" t="inlineStr">
        <is>
          <t>Seshadri Ramanujam</t>
        </is>
      </c>
      <c r="C26" s="11" t="inlineStr">
        <is>
          <t>Head of Manufacturing</t>
        </is>
      </c>
      <c r="D26" s="12" t="inlineStr">
        <is>
          <t>Seshadri Ramanujam</t>
        </is>
      </c>
      <c r="E26" s="12" t="inlineStr">
        <is>
          <t>Sundram Fasteners Limited</t>
        </is>
      </c>
      <c r="F26" s="10" t="inlineStr">
        <is>
          <t>Chennai, India</t>
        </is>
      </c>
    </row>
    <row r="27" hidden="1" outlineLevel="1">
      <c r="A27" s="7" t="n">
        <v>7</v>
      </c>
      <c r="B27" s="8" t="inlineStr">
        <is>
          <t>Rajagopalan Srinivasan</t>
        </is>
      </c>
      <c r="C27" s="8" t="inlineStr">
        <is>
          <t>Vice President</t>
        </is>
      </c>
      <c r="D27" s="9" t="inlineStr">
        <is>
          <t>Rajagopalan Srinivasan</t>
        </is>
      </c>
      <c r="E27" s="9" t="inlineStr">
        <is>
          <t>Sundram Fasteners Limited</t>
        </is>
      </c>
      <c r="F27" s="7" t="inlineStr">
        <is>
          <t>Chennai, India</t>
        </is>
      </c>
    </row>
    <row r="29" ht="28" customHeight="1">
      <c r="A29" s="4" t="inlineStr">
        <is>
          <t xml:space="preserve">  ▸ JBM Auto Limited  (7 contacts)</t>
        </is>
      </c>
      <c r="B29" s="5" t="n"/>
      <c r="C29" s="5" t="n"/>
      <c r="D29" s="5" t="n"/>
      <c r="E29" s="5" t="n"/>
      <c r="F29" s="5" t="n"/>
    </row>
    <row r="30" hidden="1" outlineLevel="1">
      <c r="A30" s="6" t="inlineStr">
        <is>
          <t>#</t>
        </is>
      </c>
      <c r="B30" s="6" t="inlineStr">
        <is>
          <t>Name</t>
        </is>
      </c>
      <c r="C30" s="6" t="inlineStr">
        <is>
          <t>Position</t>
        </is>
      </c>
      <c r="D30" s="6" t="inlineStr">
        <is>
          <t>LinkedIn (Person)</t>
        </is>
      </c>
      <c r="E30" s="6" t="inlineStr">
        <is>
          <t>Company LinkedIn</t>
        </is>
      </c>
      <c r="F30" s="6" t="inlineStr">
        <is>
          <t>Location</t>
        </is>
      </c>
    </row>
    <row r="31" hidden="1" outlineLevel="1">
      <c r="A31" s="7" t="n">
        <v>1</v>
      </c>
      <c r="B31" s="8" t="inlineStr">
        <is>
          <t>Vivek Gupta</t>
        </is>
      </c>
      <c r="C31" s="8" t="inlineStr">
        <is>
          <t>President &amp; CFO, JBM Auto Ltd.</t>
        </is>
      </c>
      <c r="D31" s="9" t="inlineStr">
        <is>
          <t>Vivek Gupta</t>
        </is>
      </c>
      <c r="E31" s="9" t="inlineStr">
        <is>
          <t>JBM Auto Limited</t>
        </is>
      </c>
      <c r="F31" s="7" t="inlineStr">
        <is>
          <t>Gurugram, India</t>
        </is>
      </c>
    </row>
    <row r="32" hidden="1" outlineLevel="1">
      <c r="A32" s="10" t="n">
        <v>2</v>
      </c>
      <c r="B32" s="11" t="inlineStr">
        <is>
          <t>Sanjay Rusia</t>
        </is>
      </c>
      <c r="C32" s="11" t="inlineStr">
        <is>
          <t>President &amp; CEO, JBM Electric Vehicles Pvt. Ltd.</t>
        </is>
      </c>
      <c r="D32" s="12" t="inlineStr">
        <is>
          <t>Sanjay Rusia</t>
        </is>
      </c>
      <c r="E32" s="12" t="inlineStr">
        <is>
          <t>JBM Auto Limited</t>
        </is>
      </c>
      <c r="F32" s="10" t="inlineStr">
        <is>
          <t>Gurugram, India</t>
        </is>
      </c>
    </row>
    <row r="33" hidden="1" outlineLevel="1">
      <c r="A33" s="7" t="n">
        <v>3</v>
      </c>
      <c r="B33" s="8" t="inlineStr">
        <is>
          <t>Rajiv Sahdev</t>
        </is>
      </c>
      <c r="C33" s="8" t="inlineStr">
        <is>
          <t>President &amp; Group CHRO, JBM Group</t>
        </is>
      </c>
      <c r="D33" s="9" t="inlineStr">
        <is>
          <t>Rajiv Sahdev</t>
        </is>
      </c>
      <c r="E33" s="9" t="inlineStr">
        <is>
          <t>JBM Auto Limited</t>
        </is>
      </c>
      <c r="F33" s="7" t="inlineStr">
        <is>
          <t>Gurugram, India</t>
        </is>
      </c>
    </row>
    <row r="34" hidden="1" outlineLevel="1">
      <c r="A34" s="10" t="n">
        <v>4</v>
      </c>
      <c r="B34" s="11" t="inlineStr">
        <is>
          <t>Dhiraj Mohan</t>
        </is>
      </c>
      <c r="C34" s="11" t="inlineStr">
        <is>
          <t>Executive Director, JBM Auto Ltd.</t>
        </is>
      </c>
      <c r="D34" s="12" t="inlineStr">
        <is>
          <t>Dhiraj Mohan</t>
        </is>
      </c>
      <c r="E34" s="12" t="inlineStr">
        <is>
          <t>JBM Auto Limited</t>
        </is>
      </c>
      <c r="F34" s="10" t="inlineStr">
        <is>
          <t>Gurugram, India</t>
        </is>
      </c>
    </row>
    <row r="35" hidden="1" outlineLevel="1">
      <c r="A35" s="7" t="n">
        <v>5</v>
      </c>
      <c r="B35" s="8" t="inlineStr">
        <is>
          <t>Sanjay Bassi</t>
        </is>
      </c>
      <c r="C35" s="8" t="inlineStr">
        <is>
          <t>Vice President, JBM Group</t>
        </is>
      </c>
      <c r="D35" s="9" t="inlineStr">
        <is>
          <t>Sanjay Bassi</t>
        </is>
      </c>
      <c r="E35" s="9" t="inlineStr">
        <is>
          <t>JBM Auto Limited</t>
        </is>
      </c>
      <c r="F35" s="7" t="inlineStr">
        <is>
          <t>Gurugram, India</t>
        </is>
      </c>
    </row>
    <row r="36" hidden="1" outlineLevel="1">
      <c r="A36" s="10" t="n">
        <v>6</v>
      </c>
      <c r="B36" s="11" t="inlineStr">
        <is>
          <t>Shubhra Sahay</t>
        </is>
      </c>
      <c r="C36" s="11" t="inlineStr">
        <is>
          <t>VP &amp; Head HR - JBMEV (JBM Group)</t>
        </is>
      </c>
      <c r="D36" s="12" t="inlineStr">
        <is>
          <t>Shubhra Sahay</t>
        </is>
      </c>
      <c r="E36" s="12" t="inlineStr">
        <is>
          <t>JBM Auto Limited</t>
        </is>
      </c>
      <c r="F36" s="10" t="inlineStr">
        <is>
          <t>Gurugram, India</t>
        </is>
      </c>
    </row>
    <row r="37" hidden="1" outlineLevel="1">
      <c r="A37" s="7" t="n">
        <v>7</v>
      </c>
      <c r="B37" s="8" t="inlineStr">
        <is>
          <t>Prabhat Dhusiya</t>
        </is>
      </c>
      <c r="C37" s="8" t="inlineStr">
        <is>
          <t>Head of Supplier Quality / General Manager Operations, JBM Electric Vehicles</t>
        </is>
      </c>
      <c r="D37" s="9" t="inlineStr">
        <is>
          <t>Prabhat Dhusiya</t>
        </is>
      </c>
      <c r="E37" s="9" t="inlineStr">
        <is>
          <t>JBM Auto Limited</t>
        </is>
      </c>
      <c r="F37" s="7" t="inlineStr">
        <is>
          <t>Gurugram, India</t>
        </is>
      </c>
    </row>
    <row r="39" ht="28" customHeight="1">
      <c r="A39" s="4" t="inlineStr">
        <is>
          <t xml:space="preserve">  ▸ Minda Corporation Limited  (5 contacts)</t>
        </is>
      </c>
      <c r="B39" s="5" t="n"/>
      <c r="C39" s="5" t="n"/>
      <c r="D39" s="5" t="n"/>
      <c r="E39" s="5" t="n"/>
      <c r="F39" s="5" t="n"/>
    </row>
    <row r="40" hidden="1" outlineLevel="1">
      <c r="A40" s="6" t="inlineStr">
        <is>
          <t>#</t>
        </is>
      </c>
      <c r="B40" s="6" t="inlineStr">
        <is>
          <t>Name</t>
        </is>
      </c>
      <c r="C40" s="6" t="inlineStr">
        <is>
          <t>Position</t>
        </is>
      </c>
      <c r="D40" s="6" t="inlineStr">
        <is>
          <t>LinkedIn (Person)</t>
        </is>
      </c>
      <c r="E40" s="6" t="inlineStr">
        <is>
          <t>Company LinkedIn</t>
        </is>
      </c>
      <c r="F40" s="6" t="inlineStr">
        <is>
          <t>Location</t>
        </is>
      </c>
    </row>
    <row r="41" hidden="1" outlineLevel="1">
      <c r="A41" s="7" t="n">
        <v>1</v>
      </c>
      <c r="B41" s="8" t="inlineStr">
        <is>
          <t>Ashok Minda</t>
        </is>
      </c>
      <c r="C41" s="8" t="inlineStr">
        <is>
          <t>Chairman &amp; Group CEO, Spark Minda / Minda Corporation Ltd.</t>
        </is>
      </c>
      <c r="D41" s="9" t="inlineStr">
        <is>
          <t>Ashok Minda</t>
        </is>
      </c>
      <c r="E41" s="9" t="inlineStr">
        <is>
          <t>Minda Corporation Limited</t>
        </is>
      </c>
      <c r="F41" s="7" t="inlineStr">
        <is>
          <t>Noida, India</t>
        </is>
      </c>
    </row>
    <row r="42" hidden="1" outlineLevel="1">
      <c r="A42" s="10" t="n">
        <v>2</v>
      </c>
      <c r="B42" s="11" t="inlineStr">
        <is>
          <t>Deepak Arora</t>
        </is>
      </c>
      <c r="C42" s="11" t="inlineStr">
        <is>
          <t>CEO, Spark Minda (Ashok Minda Group)</t>
        </is>
      </c>
      <c r="D42" s="12" t="inlineStr">
        <is>
          <t>Deepak Arora</t>
        </is>
      </c>
      <c r="E42" s="12" t="inlineStr">
        <is>
          <t>Minda Corporation Limited</t>
        </is>
      </c>
      <c r="F42" s="10" t="inlineStr">
        <is>
          <t>Noida, India</t>
        </is>
      </c>
    </row>
    <row r="43" hidden="1" outlineLevel="1">
      <c r="A43" s="7" t="n">
        <v>3</v>
      </c>
      <c r="B43" s="8" t="inlineStr">
        <is>
          <t>Dr. Suresh D</t>
        </is>
      </c>
      <c r="C43" s="8" t="inlineStr">
        <is>
          <t>Group CTO; Board Member - EV Products; CEO, Tech Centre (Spark Minda)</t>
        </is>
      </c>
      <c r="D43" s="9" t="inlineStr">
        <is>
          <t>Dr. Suresh D</t>
        </is>
      </c>
      <c r="E43" s="9" t="inlineStr">
        <is>
          <t>Minda Corporation Limited</t>
        </is>
      </c>
      <c r="F43" s="7" t="inlineStr">
        <is>
          <t>Noida, India</t>
        </is>
      </c>
    </row>
    <row r="44" hidden="1" outlineLevel="1">
      <c r="A44" s="10" t="n">
        <v>4</v>
      </c>
      <c r="B44" s="11" t="inlineStr">
        <is>
          <t>Aakash Minda</t>
        </is>
      </c>
      <c r="C44" s="11" t="inlineStr">
        <is>
          <t>Executive Director, Minda Corporation Ltd.</t>
        </is>
      </c>
      <c r="D44" s="12" t="inlineStr">
        <is>
          <t>Aakash Minda</t>
        </is>
      </c>
      <c r="E44" s="12" t="inlineStr">
        <is>
          <t>Minda Corporation Limited</t>
        </is>
      </c>
      <c r="F44" s="10" t="inlineStr">
        <is>
          <t>Noida, India</t>
        </is>
      </c>
    </row>
    <row r="45" hidden="1" outlineLevel="1">
      <c r="A45" s="7" t="n">
        <v>5</v>
      </c>
      <c r="B45" s="8" t="inlineStr">
        <is>
          <t>Sumit Doseja</t>
        </is>
      </c>
      <c r="C45" s="8" t="inlineStr">
        <is>
          <t>CEO, Minda Corporation Limited / SBU Head, Spark Minda</t>
        </is>
      </c>
      <c r="D45" s="9" t="inlineStr">
        <is>
          <t>Sumit Doseja</t>
        </is>
      </c>
      <c r="E45" s="9" t="inlineStr">
        <is>
          <t>Minda Corporation Limited</t>
        </is>
      </c>
      <c r="F45" s="7" t="inlineStr">
        <is>
          <t>Noida, India</t>
        </is>
      </c>
    </row>
    <row r="47" ht="28" customHeight="1">
      <c r="A47" s="4" t="inlineStr">
        <is>
          <t xml:space="preserve">  ▸ Ram Ratna Wires Limited  (6 contacts)</t>
        </is>
      </c>
      <c r="B47" s="5" t="n"/>
      <c r="C47" s="5" t="n"/>
      <c r="D47" s="5" t="n"/>
      <c r="E47" s="5" t="n"/>
      <c r="F47" s="5" t="n"/>
    </row>
    <row r="48" hidden="1" outlineLevel="1">
      <c r="A48" s="6" t="inlineStr">
        <is>
          <t>#</t>
        </is>
      </c>
      <c r="B48" s="6" t="inlineStr">
        <is>
          <t>Name</t>
        </is>
      </c>
      <c r="C48" s="6" t="inlineStr">
        <is>
          <t>Position</t>
        </is>
      </c>
      <c r="D48" s="6" t="inlineStr">
        <is>
          <t>LinkedIn (Person)</t>
        </is>
      </c>
      <c r="E48" s="6" t="inlineStr">
        <is>
          <t>Company LinkedIn</t>
        </is>
      </c>
      <c r="F48" s="6" t="inlineStr">
        <is>
          <t>Location</t>
        </is>
      </c>
    </row>
    <row r="49" hidden="1" outlineLevel="1">
      <c r="A49" s="7" t="n">
        <v>1</v>
      </c>
      <c r="B49" s="8" t="inlineStr">
        <is>
          <t>Nimesh Kapoor</t>
        </is>
      </c>
      <c r="C49" s="8" t="inlineStr">
        <is>
          <t>Sr. Vice President - Marketing, Ram Ratna Wires Ltd</t>
        </is>
      </c>
      <c r="D49" s="9" t="inlineStr">
        <is>
          <t>Nimesh Kapoor</t>
        </is>
      </c>
      <c r="E49" s="9" t="inlineStr">
        <is>
          <t>Ram Ratna Wires Limited</t>
        </is>
      </c>
      <c r="F49" s="7" t="inlineStr">
        <is>
          <t>Mumbai, India</t>
        </is>
      </c>
    </row>
    <row r="50" hidden="1" outlineLevel="1">
      <c r="A50" s="10" t="n">
        <v>2</v>
      </c>
      <c r="B50" s="11" t="inlineStr">
        <is>
          <t>Vijay Chandak</t>
        </is>
      </c>
      <c r="C50" s="11" t="inlineStr">
        <is>
          <t>Vice President, Ram Ratna Wires Ltd</t>
        </is>
      </c>
      <c r="D50" s="12" t="inlineStr">
        <is>
          <t>Vijay Chandak</t>
        </is>
      </c>
      <c r="E50" s="12" t="inlineStr">
        <is>
          <t>Ram Ratna Wires Limited</t>
        </is>
      </c>
      <c r="F50" s="10" t="inlineStr">
        <is>
          <t>Mumbai, India</t>
        </is>
      </c>
    </row>
    <row r="51" hidden="1" outlineLevel="1">
      <c r="A51" s="7" t="n">
        <v>3</v>
      </c>
      <c r="B51" s="8" t="inlineStr">
        <is>
          <t>Rajnarayan Singh</t>
        </is>
      </c>
      <c r="C51" s="8" t="inlineStr">
        <is>
          <t>General Manager, Ram Ratna Wires Ltd</t>
        </is>
      </c>
      <c r="D51" s="9" t="inlineStr">
        <is>
          <t>Rajnarayan Singh</t>
        </is>
      </c>
      <c r="E51" s="9" t="inlineStr">
        <is>
          <t>Ram Ratna Wires Limited</t>
        </is>
      </c>
      <c r="F51" s="7" t="inlineStr">
        <is>
          <t>Mumbai, India</t>
        </is>
      </c>
    </row>
    <row r="52" hidden="1" outlineLevel="1">
      <c r="A52" s="10" t="n">
        <v>4</v>
      </c>
      <c r="B52" s="11" t="inlineStr">
        <is>
          <t>Jigar Vaghela</t>
        </is>
      </c>
      <c r="C52" s="11" t="inlineStr">
        <is>
          <t>Sales / Marketing Management, Ram Ratna Wires Limited</t>
        </is>
      </c>
      <c r="D52" s="12" t="inlineStr">
        <is>
          <t>Jigar Vaghela</t>
        </is>
      </c>
      <c r="E52" s="12" t="inlineStr">
        <is>
          <t>Ram Ratna Wires Limited</t>
        </is>
      </c>
      <c r="F52" s="10" t="inlineStr">
        <is>
          <t>Mumbai, India</t>
        </is>
      </c>
    </row>
    <row r="53" hidden="1" outlineLevel="1">
      <c r="A53" s="7" t="n">
        <v>5</v>
      </c>
      <c r="B53" s="8" t="inlineStr">
        <is>
          <t>Saurabh Gupta</t>
        </is>
      </c>
      <c r="C53" s="8" t="inlineStr">
        <is>
          <t>Assistant General Manager - Company Secretary, Ram Ratna Wires Limited</t>
        </is>
      </c>
      <c r="D53" s="9" t="inlineStr">
        <is>
          <t>Saurabh Gupta</t>
        </is>
      </c>
      <c r="E53" s="9" t="inlineStr">
        <is>
          <t>Ram Ratna Wires Limited</t>
        </is>
      </c>
      <c r="F53" s="7" t="inlineStr">
        <is>
          <t>Mumbai, India</t>
        </is>
      </c>
    </row>
    <row r="54" hidden="1" outlineLevel="1">
      <c r="A54" s="10" t="n">
        <v>6</v>
      </c>
      <c r="B54" s="11" t="inlineStr">
        <is>
          <t>Sudhir Masaji</t>
        </is>
      </c>
      <c r="C54" s="11" t="inlineStr">
        <is>
          <t>Director, Ram Ratna Group of Industries</t>
        </is>
      </c>
      <c r="D54" s="12" t="inlineStr">
        <is>
          <t>Sudhir Masaji</t>
        </is>
      </c>
      <c r="E54" s="12" t="inlineStr">
        <is>
          <t>Ram Ratna Wires Limited</t>
        </is>
      </c>
      <c r="F54" s="10" t="inlineStr">
        <is>
          <t>Mumbai, India</t>
        </is>
      </c>
    </row>
    <row r="56" ht="28" customHeight="1">
      <c r="A56" s="4" t="inlineStr">
        <is>
          <t xml:space="preserve">  ▸ Rane Holdings Limited  (5 contacts)</t>
        </is>
      </c>
      <c r="B56" s="5" t="n"/>
      <c r="C56" s="5" t="n"/>
      <c r="D56" s="5" t="n"/>
      <c r="E56" s="5" t="n"/>
      <c r="F56" s="5" t="n"/>
    </row>
    <row r="57" hidden="1" outlineLevel="1">
      <c r="A57" s="6" t="inlineStr">
        <is>
          <t>#</t>
        </is>
      </c>
      <c r="B57" s="6" t="inlineStr">
        <is>
          <t>Name</t>
        </is>
      </c>
      <c r="C57" s="6" t="inlineStr">
        <is>
          <t>Position</t>
        </is>
      </c>
      <c r="D57" s="6" t="inlineStr">
        <is>
          <t>LinkedIn (Person)</t>
        </is>
      </c>
      <c r="E57" s="6" t="inlineStr">
        <is>
          <t>Company LinkedIn</t>
        </is>
      </c>
      <c r="F57" s="6" t="inlineStr">
        <is>
          <t>Location</t>
        </is>
      </c>
    </row>
    <row r="58" hidden="1" outlineLevel="1">
      <c r="A58" s="7" t="n">
        <v>1</v>
      </c>
      <c r="B58" s="8" t="inlineStr">
        <is>
          <t>K. Rajendran</t>
        </is>
      </c>
      <c r="C58" s="8" t="inlineStr">
        <is>
          <t>Vice President, ZF RANE Automotive India Private Limited</t>
        </is>
      </c>
      <c r="D58" s="9" t="inlineStr">
        <is>
          <t>K. Rajendran</t>
        </is>
      </c>
      <c r="E58" s="9" t="inlineStr">
        <is>
          <t>Rane Holdings Limited</t>
        </is>
      </c>
      <c r="F58" s="7" t="inlineStr">
        <is>
          <t>Chennai, India</t>
        </is>
      </c>
    </row>
    <row r="59" hidden="1" outlineLevel="1">
      <c r="A59" s="10" t="n">
        <v>2</v>
      </c>
      <c r="B59" s="11" t="inlineStr">
        <is>
          <t>Viswanathan N</t>
        </is>
      </c>
      <c r="C59" s="11" t="inlineStr">
        <is>
          <t>General Manager, Rane Brake Lining Limited</t>
        </is>
      </c>
      <c r="D59" s="12" t="inlineStr">
        <is>
          <t>Viswanathan N</t>
        </is>
      </c>
      <c r="E59" s="12" t="inlineStr">
        <is>
          <t>Rane Holdings Limited</t>
        </is>
      </c>
      <c r="F59" s="10" t="inlineStr">
        <is>
          <t>Chennai, India</t>
        </is>
      </c>
    </row>
    <row r="60" hidden="1" outlineLevel="1">
      <c r="A60" s="7" t="n">
        <v>3</v>
      </c>
      <c r="B60" s="8" t="inlineStr">
        <is>
          <t>Viswanathan K</t>
        </is>
      </c>
      <c r="C60" s="8" t="inlineStr">
        <is>
          <t>Administration Manager, Rane Group</t>
        </is>
      </c>
      <c r="D60" s="9" t="inlineStr">
        <is>
          <t>Viswanathan K</t>
        </is>
      </c>
      <c r="E60" s="9" t="inlineStr">
        <is>
          <t>Rane Holdings Limited</t>
        </is>
      </c>
      <c r="F60" s="7" t="inlineStr">
        <is>
          <t>Chennai, India</t>
        </is>
      </c>
    </row>
    <row r="61" hidden="1" outlineLevel="1">
      <c r="A61" s="10" t="n">
        <v>4</v>
      </c>
      <c r="B61" s="11" t="inlineStr">
        <is>
          <t>Dr. P.A. Padmanabhan</t>
        </is>
      </c>
      <c r="C61" s="11" t="inlineStr">
        <is>
          <t>President - Finance &amp; Group CFO</t>
        </is>
      </c>
      <c r="D61" s="12" t="inlineStr">
        <is>
          <t>Dr. P.A. Padmanabhan</t>
        </is>
      </c>
      <c r="E61" s="12" t="inlineStr">
        <is>
          <t>Rane Holdings Limited</t>
        </is>
      </c>
      <c r="F61" s="10" t="inlineStr">
        <is>
          <t>Chennai, India</t>
        </is>
      </c>
    </row>
    <row r="62" hidden="1" outlineLevel="1">
      <c r="A62" s="7" t="n">
        <v>5</v>
      </c>
      <c r="B62" s="8" t="inlineStr">
        <is>
          <t>Ramasubramanian Venkatraman</t>
        </is>
      </c>
      <c r="C62" s="8" t="inlineStr">
        <is>
          <t>SVP - HR, Rane Group</t>
        </is>
      </c>
      <c r="D62" s="9" t="inlineStr">
        <is>
          <t>Ramasubramanian Venkatraman</t>
        </is>
      </c>
      <c r="E62" s="9" t="inlineStr">
        <is>
          <t>Rane Holdings Limited</t>
        </is>
      </c>
      <c r="F62" s="7" t="inlineStr">
        <is>
          <t>Chennai, India</t>
        </is>
      </c>
    </row>
    <row r="64" ht="28" customHeight="1">
      <c r="A64" s="4" t="inlineStr">
        <is>
          <t xml:space="preserve">  ▸ Century Plyboards (India) Limited  (8 contacts)</t>
        </is>
      </c>
      <c r="B64" s="5" t="n"/>
      <c r="C64" s="5" t="n"/>
      <c r="D64" s="5" t="n"/>
      <c r="E64" s="5" t="n"/>
      <c r="F64" s="5" t="n"/>
    </row>
    <row r="65" hidden="1" outlineLevel="1">
      <c r="A65" s="6" t="inlineStr">
        <is>
          <t>#</t>
        </is>
      </c>
      <c r="B65" s="6" t="inlineStr">
        <is>
          <t>Name</t>
        </is>
      </c>
      <c r="C65" s="6" t="inlineStr">
        <is>
          <t>Position</t>
        </is>
      </c>
      <c r="D65" s="6" t="inlineStr">
        <is>
          <t>LinkedIn (Person)</t>
        </is>
      </c>
      <c r="E65" s="6" t="inlineStr">
        <is>
          <t>Company LinkedIn</t>
        </is>
      </c>
      <c r="F65" s="6" t="inlineStr">
        <is>
          <t>Location</t>
        </is>
      </c>
    </row>
    <row r="66" hidden="1" outlineLevel="1">
      <c r="A66" s="7" t="n">
        <v>1</v>
      </c>
      <c r="B66" s="8" t="inlineStr">
        <is>
          <t>Naveen Lohia</t>
        </is>
      </c>
      <c r="C66" s="8" t="inlineStr">
        <is>
          <t>Vice President Exports, Century Plyboards (I) Limited</t>
        </is>
      </c>
      <c r="D66" s="9" t="inlineStr">
        <is>
          <t>Naveen Lohia</t>
        </is>
      </c>
      <c r="E66" s="9" t="inlineStr">
        <is>
          <t>Century Plyboards (India) Limited</t>
        </is>
      </c>
      <c r="F66" s="7" t="inlineStr">
        <is>
          <t>Kolkata, India</t>
        </is>
      </c>
    </row>
    <row r="67" hidden="1" outlineLevel="1">
      <c r="A67" s="10" t="n">
        <v>2</v>
      </c>
      <c r="B67" s="11" t="inlineStr">
        <is>
          <t>Arnab Basu</t>
        </is>
      </c>
      <c r="C67" s="11" t="inlineStr">
        <is>
          <t>Head of Distribution, Century Plyboards</t>
        </is>
      </c>
      <c r="D67" s="12" t="inlineStr">
        <is>
          <t>Arnab Basu</t>
        </is>
      </c>
      <c r="E67" s="12" t="inlineStr">
        <is>
          <t>Century Plyboards (India) Limited</t>
        </is>
      </c>
      <c r="F67" s="10" t="inlineStr">
        <is>
          <t>Kolkata, India</t>
        </is>
      </c>
    </row>
    <row r="68" hidden="1" outlineLevel="1">
      <c r="A68" s="7" t="n">
        <v>3</v>
      </c>
      <c r="B68" s="8" t="inlineStr">
        <is>
          <t>Sanjay Agarwal</t>
        </is>
      </c>
      <c r="C68" s="8" t="inlineStr">
        <is>
          <t>MD CENTURYPLY</t>
        </is>
      </c>
      <c r="D68" s="9" t="inlineStr">
        <is>
          <t>Sanjay Agarwal</t>
        </is>
      </c>
      <c r="E68" s="9" t="inlineStr">
        <is>
          <t>Century Plyboards (India) Limited</t>
        </is>
      </c>
      <c r="F68" s="7" t="inlineStr">
        <is>
          <t>Kolkata, India</t>
        </is>
      </c>
    </row>
    <row r="69" hidden="1" outlineLevel="1">
      <c r="A69" s="10" t="n">
        <v>4</v>
      </c>
      <c r="B69" s="11" t="inlineStr">
        <is>
          <t>Prem Kumar</t>
        </is>
      </c>
      <c r="C69" s="11" t="inlineStr">
        <is>
          <t>Joint Managing Director, Century Plyboards (I) Limited</t>
        </is>
      </c>
      <c r="D69" s="12" t="inlineStr">
        <is>
          <t>Prem Kumar</t>
        </is>
      </c>
      <c r="E69" s="12" t="inlineStr">
        <is>
          <t>Century Plyboards (India) Limited</t>
        </is>
      </c>
      <c r="F69" s="10" t="inlineStr">
        <is>
          <t>Kolkata, India</t>
        </is>
      </c>
    </row>
    <row r="70" hidden="1" outlineLevel="1">
      <c r="A70" s="7" t="n">
        <v>5</v>
      </c>
      <c r="B70" s="8" t="inlineStr">
        <is>
          <t>Dr. Sandip Pradhan</t>
        </is>
      </c>
      <c r="C70" s="8" t="inlineStr">
        <is>
          <t>CDIO - CenturyPly; Board Member</t>
        </is>
      </c>
      <c r="D70" s="9" t="inlineStr">
        <is>
          <t>Dr. Sandip Pradhan</t>
        </is>
      </c>
      <c r="E70" s="9" t="inlineStr">
        <is>
          <t>Century Plyboards (India) Limited</t>
        </is>
      </c>
      <c r="F70" s="7" t="inlineStr">
        <is>
          <t>Kolkata, India</t>
        </is>
      </c>
    </row>
    <row r="71" hidden="1" outlineLevel="1">
      <c r="A71" s="10" t="n">
        <v>6</v>
      </c>
      <c r="B71" s="11" t="inlineStr">
        <is>
          <t>Aditya Gupta</t>
        </is>
      </c>
      <c r="C71" s="11" t="inlineStr">
        <is>
          <t>COO, Decorative Veneer Business</t>
        </is>
      </c>
      <c r="D71" s="12" t="inlineStr">
        <is>
          <t>Aditya Gupta</t>
        </is>
      </c>
      <c r="E71" s="12" t="inlineStr">
        <is>
          <t>Century Plyboards (India) Limited</t>
        </is>
      </c>
      <c r="F71" s="10" t="inlineStr">
        <is>
          <t>Kolkata, India</t>
        </is>
      </c>
    </row>
    <row r="72" hidden="1" outlineLevel="1">
      <c r="A72" s="7" t="n">
        <v>7</v>
      </c>
      <c r="B72" s="8" t="inlineStr">
        <is>
          <t>Nikita Agarwal Bansal</t>
        </is>
      </c>
      <c r="C72" s="8" t="inlineStr">
        <is>
          <t>Executive Director, CenturyPly</t>
        </is>
      </c>
      <c r="D72" s="9" t="inlineStr">
        <is>
          <t>Nikita Agarwal Bansal</t>
        </is>
      </c>
      <c r="E72" s="9" t="inlineStr">
        <is>
          <t>Century Plyboards (India) Limited</t>
        </is>
      </c>
      <c r="F72" s="7" t="inlineStr">
        <is>
          <t>Kolkata, India</t>
        </is>
      </c>
    </row>
    <row r="73" hidden="1" outlineLevel="1">
      <c r="A73" s="10" t="n">
        <v>8</v>
      </c>
      <c r="B73" s="11" t="inlineStr">
        <is>
          <t>Sudip Das</t>
        </is>
      </c>
      <c r="C73" s="11" t="inlineStr">
        <is>
          <t>Head - Banking Relationship, Century Plyboards (I) Limited</t>
        </is>
      </c>
      <c r="D73" s="12" t="inlineStr">
        <is>
          <t>Sudip Das</t>
        </is>
      </c>
      <c r="E73" s="12" t="inlineStr">
        <is>
          <t>Century Plyboards (India) Limited</t>
        </is>
      </c>
      <c r="F73" s="10" t="inlineStr">
        <is>
          <t>Kolkata, India</t>
        </is>
      </c>
    </row>
    <row r="75" ht="28" customHeight="1">
      <c r="A75" s="4" t="inlineStr">
        <is>
          <t xml:space="preserve">  ▸ Wheels India Limited  (5 contacts)</t>
        </is>
      </c>
      <c r="B75" s="5" t="n"/>
      <c r="C75" s="5" t="n"/>
      <c r="D75" s="5" t="n"/>
      <c r="E75" s="5" t="n"/>
      <c r="F75" s="5" t="n"/>
    </row>
    <row r="76" hidden="1" outlineLevel="1">
      <c r="A76" s="6" t="inlineStr">
        <is>
          <t>#</t>
        </is>
      </c>
      <c r="B76" s="6" t="inlineStr">
        <is>
          <t>Name</t>
        </is>
      </c>
      <c r="C76" s="6" t="inlineStr">
        <is>
          <t>Position</t>
        </is>
      </c>
      <c r="D76" s="6" t="inlineStr">
        <is>
          <t>LinkedIn (Person)</t>
        </is>
      </c>
      <c r="E76" s="6" t="inlineStr">
        <is>
          <t>Company LinkedIn</t>
        </is>
      </c>
      <c r="F76" s="6" t="inlineStr">
        <is>
          <t>Location</t>
        </is>
      </c>
    </row>
    <row r="77" hidden="1" outlineLevel="1">
      <c r="A77" s="7" t="n">
        <v>1</v>
      </c>
      <c r="B77" s="8" t="inlineStr">
        <is>
          <t>Srivats Ram</t>
        </is>
      </c>
      <c r="C77" s="8" t="inlineStr">
        <is>
          <t>Managing Director, Wheels India Ltd.</t>
        </is>
      </c>
      <c r="D77" s="9" t="inlineStr">
        <is>
          <t>Srivats Ram</t>
        </is>
      </c>
      <c r="E77" s="9" t="inlineStr">
        <is>
          <t>Wheels India Limited</t>
        </is>
      </c>
      <c r="F77" s="7" t="inlineStr">
        <is>
          <t>Chennai, India</t>
        </is>
      </c>
    </row>
    <row r="78" hidden="1" outlineLevel="1">
      <c r="A78" s="10" t="n">
        <v>2</v>
      </c>
      <c r="B78" s="11" t="inlineStr">
        <is>
          <t>Sanjay Pande</t>
        </is>
      </c>
      <c r="C78" s="11" t="inlineStr">
        <is>
          <t>Sr Vice President (Marketing)</t>
        </is>
      </c>
      <c r="D78" s="12" t="inlineStr">
        <is>
          <t>Sanjay Pande</t>
        </is>
      </c>
      <c r="E78" s="12" t="inlineStr">
        <is>
          <t>Wheels India Limited</t>
        </is>
      </c>
      <c r="F78" s="10" t="inlineStr">
        <is>
          <t>Chennai, India</t>
        </is>
      </c>
    </row>
    <row r="79" hidden="1" outlineLevel="1">
      <c r="A79" s="7" t="n">
        <v>3</v>
      </c>
      <c r="B79" s="8" t="inlineStr">
        <is>
          <t>Sundar M</t>
        </is>
      </c>
      <c r="C79" s="8" t="inlineStr">
        <is>
          <t>Vice President, Operations</t>
        </is>
      </c>
      <c r="D79" s="9" t="inlineStr">
        <is>
          <t>Sundar M</t>
        </is>
      </c>
      <c r="E79" s="9" t="inlineStr">
        <is>
          <t>Wheels India Limited</t>
        </is>
      </c>
      <c r="F79" s="7" t="inlineStr">
        <is>
          <t>Chennai, India</t>
        </is>
      </c>
    </row>
    <row r="80" hidden="1" outlineLevel="1">
      <c r="A80" s="10" t="n">
        <v>4</v>
      </c>
      <c r="B80" s="11" t="inlineStr">
        <is>
          <t>Rajasekar Lakshmanan</t>
        </is>
      </c>
      <c r="C80" s="11" t="inlineStr">
        <is>
          <t>Vice President, Wheels India Ltd.</t>
        </is>
      </c>
      <c r="D80" s="12" t="inlineStr">
        <is>
          <t>Rajasekar Lakshmanan</t>
        </is>
      </c>
      <c r="E80" s="12" t="inlineStr">
        <is>
          <t>Wheels India Limited</t>
        </is>
      </c>
      <c r="F80" s="10" t="inlineStr">
        <is>
          <t>Chennai, India</t>
        </is>
      </c>
    </row>
    <row r="81" hidden="1" outlineLevel="1">
      <c r="A81" s="7" t="n">
        <v>5</v>
      </c>
      <c r="B81" s="8" t="inlineStr">
        <is>
          <t>Rajeev Kapoor</t>
        </is>
      </c>
      <c r="C81" s="8" t="inlineStr">
        <is>
          <t>Sr. Vice President - Automotive Business</t>
        </is>
      </c>
      <c r="D81" s="9" t="inlineStr">
        <is>
          <t>Rajeev Kapoor</t>
        </is>
      </c>
      <c r="E81" s="9" t="inlineStr">
        <is>
          <t>Wheels India Limited</t>
        </is>
      </c>
      <c r="F81" s="7" t="inlineStr">
        <is>
          <t>Chennai, India</t>
        </is>
      </c>
    </row>
    <row r="83" ht="28" customHeight="1">
      <c r="A83" s="4" t="inlineStr">
        <is>
          <t xml:space="preserve">  ▸ Steel Strips Wheels Limited  (8 contacts)</t>
        </is>
      </c>
      <c r="B83" s="5" t="n"/>
      <c r="C83" s="5" t="n"/>
      <c r="D83" s="5" t="n"/>
      <c r="E83" s="5" t="n"/>
      <c r="F83" s="5" t="n"/>
    </row>
    <row r="84" hidden="1" outlineLevel="1">
      <c r="A84" s="6" t="inlineStr">
        <is>
          <t>#</t>
        </is>
      </c>
      <c r="B84" s="6" t="inlineStr">
        <is>
          <t>Name</t>
        </is>
      </c>
      <c r="C84" s="6" t="inlineStr">
        <is>
          <t>Position</t>
        </is>
      </c>
      <c r="D84" s="6" t="inlineStr">
        <is>
          <t>LinkedIn (Person)</t>
        </is>
      </c>
      <c r="E84" s="6" t="inlineStr">
        <is>
          <t>Company LinkedIn</t>
        </is>
      </c>
      <c r="F84" s="6" t="inlineStr">
        <is>
          <t>Location</t>
        </is>
      </c>
    </row>
    <row r="85" hidden="1" outlineLevel="1">
      <c r="A85" s="7" t="n">
        <v>1</v>
      </c>
      <c r="B85" s="8" t="inlineStr">
        <is>
          <t>Mohan Joshi</t>
        </is>
      </c>
      <c r="C85" s="8" t="inlineStr">
        <is>
          <t>Deputy Managing Director</t>
        </is>
      </c>
      <c r="D85" s="9" t="inlineStr">
        <is>
          <t>Mohan Joshi</t>
        </is>
      </c>
      <c r="E85" s="9" t="inlineStr">
        <is>
          <t>Steel Strips Wheels Limited</t>
        </is>
      </c>
      <c r="F85" s="7" t="inlineStr">
        <is>
          <t>Chandigarh, India</t>
        </is>
      </c>
    </row>
    <row r="86" hidden="1" outlineLevel="1">
      <c r="A86" s="10" t="n">
        <v>2</v>
      </c>
      <c r="B86" s="11" t="inlineStr">
        <is>
          <t>sushil gupta</t>
        </is>
      </c>
      <c r="C86" s="11" t="inlineStr">
        <is>
          <t>Sr. Executive Director</t>
        </is>
      </c>
      <c r="D86" s="12" t="inlineStr">
        <is>
          <t>sushil gupta</t>
        </is>
      </c>
      <c r="E86" s="12" t="inlineStr">
        <is>
          <t>Steel Strips Wheels Limited</t>
        </is>
      </c>
      <c r="F86" s="10" t="inlineStr">
        <is>
          <t>Chandigarh, India</t>
        </is>
      </c>
    </row>
    <row r="87" hidden="1" outlineLevel="1">
      <c r="A87" s="7" t="n">
        <v>3</v>
      </c>
      <c r="B87" s="8" t="inlineStr">
        <is>
          <t>Sanjay Singh</t>
        </is>
      </c>
      <c r="C87" s="8" t="inlineStr">
        <is>
          <t>Vice President - Finance &amp; Accounts</t>
        </is>
      </c>
      <c r="D87" s="9" t="inlineStr">
        <is>
          <t>Sanjay Singh</t>
        </is>
      </c>
      <c r="E87" s="9" t="inlineStr">
        <is>
          <t>Steel Strips Wheels Limited</t>
        </is>
      </c>
      <c r="F87" s="7" t="inlineStr">
        <is>
          <t>Chandigarh, India</t>
        </is>
      </c>
    </row>
    <row r="88" hidden="1" outlineLevel="1">
      <c r="A88" s="10" t="n">
        <v>4</v>
      </c>
      <c r="B88" s="11" t="inlineStr">
        <is>
          <t>Rajesh Trikha</t>
        </is>
      </c>
      <c r="C88" s="11" t="inlineStr">
        <is>
          <t>Sr Executive Director</t>
        </is>
      </c>
      <c r="D88" s="12" t="inlineStr">
        <is>
          <t>Rajesh Trikha</t>
        </is>
      </c>
      <c r="E88" s="12" t="inlineStr">
        <is>
          <t>Steel Strips Wheels Limited</t>
        </is>
      </c>
      <c r="F88" s="10" t="inlineStr">
        <is>
          <t>Chandigarh, India</t>
        </is>
      </c>
    </row>
    <row r="89" hidden="1" outlineLevel="1">
      <c r="A89" s="7" t="n">
        <v>5</v>
      </c>
      <c r="B89" s="8" t="inlineStr">
        <is>
          <t>Rajith M K</t>
        </is>
      </c>
      <c r="C89" s="8" t="inlineStr">
        <is>
          <t>Vice President Manufacturing</t>
        </is>
      </c>
      <c r="D89" s="9" t="inlineStr">
        <is>
          <t>Rajith M K</t>
        </is>
      </c>
      <c r="E89" s="9" t="inlineStr">
        <is>
          <t>Steel Strips Wheels Limited</t>
        </is>
      </c>
      <c r="F89" s="7" t="inlineStr">
        <is>
          <t>Chandigarh, India</t>
        </is>
      </c>
    </row>
    <row r="90" hidden="1" outlineLevel="1">
      <c r="A90" s="10" t="n">
        <v>6</v>
      </c>
      <c r="B90" s="11" t="inlineStr">
        <is>
          <t>Rajesh Jindal</t>
        </is>
      </c>
      <c r="C90" s="11" t="inlineStr">
        <is>
          <t>Vice President - Steel Purchase</t>
        </is>
      </c>
      <c r="D90" s="12" t="inlineStr">
        <is>
          <t>Rajesh Jindal</t>
        </is>
      </c>
      <c r="E90" s="12" t="inlineStr">
        <is>
          <t>Steel Strips Wheels Limited</t>
        </is>
      </c>
      <c r="F90" s="10" t="inlineStr">
        <is>
          <t>Chandigarh, India</t>
        </is>
      </c>
    </row>
    <row r="91" hidden="1" outlineLevel="1">
      <c r="A91" s="7" t="n">
        <v>7</v>
      </c>
      <c r="B91" s="8" t="inlineStr">
        <is>
          <t>Aditya Dixit</t>
        </is>
      </c>
      <c r="C91" s="8" t="inlineStr">
        <is>
          <t>Executive Director, International Marketing &amp; Operations</t>
        </is>
      </c>
      <c r="D91" s="9" t="inlineStr">
        <is>
          <t>Aditya Dixit</t>
        </is>
      </c>
      <c r="E91" s="9" t="inlineStr">
        <is>
          <t>Steel Strips Wheels Limited</t>
        </is>
      </c>
      <c r="F91" s="7" t="inlineStr">
        <is>
          <t>Chandigarh, India</t>
        </is>
      </c>
    </row>
    <row r="92" hidden="1" outlineLevel="1">
      <c r="A92" s="10" t="n">
        <v>8</v>
      </c>
      <c r="B92" s="11" t="inlineStr">
        <is>
          <t>Udaya Kumar</t>
        </is>
      </c>
      <c r="C92" s="11" t="inlineStr">
        <is>
          <t>Vice President - Production</t>
        </is>
      </c>
      <c r="D92" s="12" t="inlineStr">
        <is>
          <t>Udaya Kumar</t>
        </is>
      </c>
      <c r="E92" s="12" t="inlineStr">
        <is>
          <t>Steel Strips Wheels Limited</t>
        </is>
      </c>
      <c r="F92" s="10" t="inlineStr">
        <is>
          <t>Chandigarh, India</t>
        </is>
      </c>
    </row>
  </sheetData>
  <mergeCells count="10">
    <mergeCell ref="A11:F11"/>
    <mergeCell ref="A47:F47"/>
    <mergeCell ref="A19:F19"/>
    <mergeCell ref="A1:F1"/>
    <mergeCell ref="A75:F75"/>
    <mergeCell ref="A64:F64"/>
    <mergeCell ref="A83:F83"/>
    <mergeCell ref="A56:F56"/>
    <mergeCell ref="A39:F39"/>
    <mergeCell ref="A29:F29"/>
  </mergeCells>
  <hyperlinks>
    <hyperlink xmlns:r="http://schemas.openxmlformats.org/officeDocument/2006/relationships" ref="D3" r:id="rId1"/>
    <hyperlink xmlns:r="http://schemas.openxmlformats.org/officeDocument/2006/relationships" ref="E3" r:id="rId2"/>
    <hyperlink xmlns:r="http://schemas.openxmlformats.org/officeDocument/2006/relationships" ref="D4" r:id="rId3"/>
    <hyperlink xmlns:r="http://schemas.openxmlformats.org/officeDocument/2006/relationships" ref="E4" r:id="rId4"/>
    <hyperlink xmlns:r="http://schemas.openxmlformats.org/officeDocument/2006/relationships" ref="D5" r:id="rId5"/>
    <hyperlink xmlns:r="http://schemas.openxmlformats.org/officeDocument/2006/relationships" ref="E5" r:id="rId6"/>
    <hyperlink xmlns:r="http://schemas.openxmlformats.org/officeDocument/2006/relationships" ref="D6" r:id="rId7"/>
    <hyperlink xmlns:r="http://schemas.openxmlformats.org/officeDocument/2006/relationships" ref="E6" r:id="rId8"/>
    <hyperlink xmlns:r="http://schemas.openxmlformats.org/officeDocument/2006/relationships" ref="D7" r:id="rId9"/>
    <hyperlink xmlns:r="http://schemas.openxmlformats.org/officeDocument/2006/relationships" ref="E7" r:id="rId10"/>
    <hyperlink xmlns:r="http://schemas.openxmlformats.org/officeDocument/2006/relationships" ref="D8" r:id="rId11"/>
    <hyperlink xmlns:r="http://schemas.openxmlformats.org/officeDocument/2006/relationships" ref="E8" r:id="rId12"/>
    <hyperlink xmlns:r="http://schemas.openxmlformats.org/officeDocument/2006/relationships" ref="D9" r:id="rId13"/>
    <hyperlink xmlns:r="http://schemas.openxmlformats.org/officeDocument/2006/relationships" ref="E9" r:id="rId14"/>
    <hyperlink xmlns:r="http://schemas.openxmlformats.org/officeDocument/2006/relationships" ref="D13" r:id="rId15"/>
    <hyperlink xmlns:r="http://schemas.openxmlformats.org/officeDocument/2006/relationships" ref="E13" r:id="rId16"/>
    <hyperlink xmlns:r="http://schemas.openxmlformats.org/officeDocument/2006/relationships" ref="D14" r:id="rId17"/>
    <hyperlink xmlns:r="http://schemas.openxmlformats.org/officeDocument/2006/relationships" ref="E14" r:id="rId18"/>
    <hyperlink xmlns:r="http://schemas.openxmlformats.org/officeDocument/2006/relationships" ref="D15" r:id="rId19"/>
    <hyperlink xmlns:r="http://schemas.openxmlformats.org/officeDocument/2006/relationships" ref="E15" r:id="rId20"/>
    <hyperlink xmlns:r="http://schemas.openxmlformats.org/officeDocument/2006/relationships" ref="D16" r:id="rId21"/>
    <hyperlink xmlns:r="http://schemas.openxmlformats.org/officeDocument/2006/relationships" ref="E16" r:id="rId22"/>
    <hyperlink xmlns:r="http://schemas.openxmlformats.org/officeDocument/2006/relationships" ref="D17" r:id="rId23"/>
    <hyperlink xmlns:r="http://schemas.openxmlformats.org/officeDocument/2006/relationships" ref="E17" r:id="rId24"/>
    <hyperlink xmlns:r="http://schemas.openxmlformats.org/officeDocument/2006/relationships" ref="D21" r:id="rId25"/>
    <hyperlink xmlns:r="http://schemas.openxmlformats.org/officeDocument/2006/relationships" ref="E21" r:id="rId26"/>
    <hyperlink xmlns:r="http://schemas.openxmlformats.org/officeDocument/2006/relationships" ref="D22" r:id="rId27"/>
    <hyperlink xmlns:r="http://schemas.openxmlformats.org/officeDocument/2006/relationships" ref="E22" r:id="rId28"/>
    <hyperlink xmlns:r="http://schemas.openxmlformats.org/officeDocument/2006/relationships" ref="D23" r:id="rId29"/>
    <hyperlink xmlns:r="http://schemas.openxmlformats.org/officeDocument/2006/relationships" ref="E23" r:id="rId30"/>
    <hyperlink xmlns:r="http://schemas.openxmlformats.org/officeDocument/2006/relationships" ref="D24" r:id="rId31"/>
    <hyperlink xmlns:r="http://schemas.openxmlformats.org/officeDocument/2006/relationships" ref="E24" r:id="rId32"/>
    <hyperlink xmlns:r="http://schemas.openxmlformats.org/officeDocument/2006/relationships" ref="D25" r:id="rId33"/>
    <hyperlink xmlns:r="http://schemas.openxmlformats.org/officeDocument/2006/relationships" ref="E25" r:id="rId34"/>
    <hyperlink xmlns:r="http://schemas.openxmlformats.org/officeDocument/2006/relationships" ref="D26" r:id="rId35"/>
    <hyperlink xmlns:r="http://schemas.openxmlformats.org/officeDocument/2006/relationships" ref="E26" r:id="rId36"/>
    <hyperlink xmlns:r="http://schemas.openxmlformats.org/officeDocument/2006/relationships" ref="D27" r:id="rId37"/>
    <hyperlink xmlns:r="http://schemas.openxmlformats.org/officeDocument/2006/relationships" ref="E27" r:id="rId38"/>
    <hyperlink xmlns:r="http://schemas.openxmlformats.org/officeDocument/2006/relationships" ref="D31" r:id="rId39"/>
    <hyperlink xmlns:r="http://schemas.openxmlformats.org/officeDocument/2006/relationships" ref="E31" r:id="rId40"/>
    <hyperlink xmlns:r="http://schemas.openxmlformats.org/officeDocument/2006/relationships" ref="D32" r:id="rId41"/>
    <hyperlink xmlns:r="http://schemas.openxmlformats.org/officeDocument/2006/relationships" ref="E32" r:id="rId42"/>
    <hyperlink xmlns:r="http://schemas.openxmlformats.org/officeDocument/2006/relationships" ref="D33" r:id="rId43"/>
    <hyperlink xmlns:r="http://schemas.openxmlformats.org/officeDocument/2006/relationships" ref="E33" r:id="rId44"/>
    <hyperlink xmlns:r="http://schemas.openxmlformats.org/officeDocument/2006/relationships" ref="D34" r:id="rId45"/>
    <hyperlink xmlns:r="http://schemas.openxmlformats.org/officeDocument/2006/relationships" ref="E34" r:id="rId46"/>
    <hyperlink xmlns:r="http://schemas.openxmlformats.org/officeDocument/2006/relationships" ref="D35" r:id="rId47"/>
    <hyperlink xmlns:r="http://schemas.openxmlformats.org/officeDocument/2006/relationships" ref="E35" r:id="rId48"/>
    <hyperlink xmlns:r="http://schemas.openxmlformats.org/officeDocument/2006/relationships" ref="D36" r:id="rId49"/>
    <hyperlink xmlns:r="http://schemas.openxmlformats.org/officeDocument/2006/relationships" ref="E36" r:id="rId50"/>
    <hyperlink xmlns:r="http://schemas.openxmlformats.org/officeDocument/2006/relationships" ref="D37" r:id="rId51"/>
    <hyperlink xmlns:r="http://schemas.openxmlformats.org/officeDocument/2006/relationships" ref="E37" r:id="rId52"/>
    <hyperlink xmlns:r="http://schemas.openxmlformats.org/officeDocument/2006/relationships" ref="D41" r:id="rId53"/>
    <hyperlink xmlns:r="http://schemas.openxmlformats.org/officeDocument/2006/relationships" ref="E41" r:id="rId54"/>
    <hyperlink xmlns:r="http://schemas.openxmlformats.org/officeDocument/2006/relationships" ref="D42" r:id="rId55"/>
    <hyperlink xmlns:r="http://schemas.openxmlformats.org/officeDocument/2006/relationships" ref="E42" r:id="rId56"/>
    <hyperlink xmlns:r="http://schemas.openxmlformats.org/officeDocument/2006/relationships" ref="D43" r:id="rId57"/>
    <hyperlink xmlns:r="http://schemas.openxmlformats.org/officeDocument/2006/relationships" ref="E43" r:id="rId58"/>
    <hyperlink xmlns:r="http://schemas.openxmlformats.org/officeDocument/2006/relationships" ref="D44" r:id="rId59"/>
    <hyperlink xmlns:r="http://schemas.openxmlformats.org/officeDocument/2006/relationships" ref="E44" r:id="rId60"/>
    <hyperlink xmlns:r="http://schemas.openxmlformats.org/officeDocument/2006/relationships" ref="D45" r:id="rId61"/>
    <hyperlink xmlns:r="http://schemas.openxmlformats.org/officeDocument/2006/relationships" ref="E45" r:id="rId62"/>
    <hyperlink xmlns:r="http://schemas.openxmlformats.org/officeDocument/2006/relationships" ref="D49" r:id="rId63"/>
    <hyperlink xmlns:r="http://schemas.openxmlformats.org/officeDocument/2006/relationships" ref="E49" r:id="rId64"/>
    <hyperlink xmlns:r="http://schemas.openxmlformats.org/officeDocument/2006/relationships" ref="D50" r:id="rId65"/>
    <hyperlink xmlns:r="http://schemas.openxmlformats.org/officeDocument/2006/relationships" ref="E50" r:id="rId66"/>
    <hyperlink xmlns:r="http://schemas.openxmlformats.org/officeDocument/2006/relationships" ref="D51" r:id="rId67"/>
    <hyperlink xmlns:r="http://schemas.openxmlformats.org/officeDocument/2006/relationships" ref="E51" r:id="rId68"/>
    <hyperlink xmlns:r="http://schemas.openxmlformats.org/officeDocument/2006/relationships" ref="D52" r:id="rId69"/>
    <hyperlink xmlns:r="http://schemas.openxmlformats.org/officeDocument/2006/relationships" ref="E52" r:id="rId70"/>
    <hyperlink xmlns:r="http://schemas.openxmlformats.org/officeDocument/2006/relationships" ref="D53" r:id="rId71"/>
    <hyperlink xmlns:r="http://schemas.openxmlformats.org/officeDocument/2006/relationships" ref="E53" r:id="rId72"/>
    <hyperlink xmlns:r="http://schemas.openxmlformats.org/officeDocument/2006/relationships" ref="D54" r:id="rId73"/>
    <hyperlink xmlns:r="http://schemas.openxmlformats.org/officeDocument/2006/relationships" ref="E54" r:id="rId74"/>
    <hyperlink xmlns:r="http://schemas.openxmlformats.org/officeDocument/2006/relationships" ref="D58" r:id="rId75"/>
    <hyperlink xmlns:r="http://schemas.openxmlformats.org/officeDocument/2006/relationships" ref="E58" r:id="rId76"/>
    <hyperlink xmlns:r="http://schemas.openxmlformats.org/officeDocument/2006/relationships" ref="D59" r:id="rId77"/>
    <hyperlink xmlns:r="http://schemas.openxmlformats.org/officeDocument/2006/relationships" ref="E59" r:id="rId78"/>
    <hyperlink xmlns:r="http://schemas.openxmlformats.org/officeDocument/2006/relationships" ref="D60" r:id="rId79"/>
    <hyperlink xmlns:r="http://schemas.openxmlformats.org/officeDocument/2006/relationships" ref="E60" r:id="rId80"/>
    <hyperlink xmlns:r="http://schemas.openxmlformats.org/officeDocument/2006/relationships" ref="D61" r:id="rId81"/>
    <hyperlink xmlns:r="http://schemas.openxmlformats.org/officeDocument/2006/relationships" ref="E61" r:id="rId82"/>
    <hyperlink xmlns:r="http://schemas.openxmlformats.org/officeDocument/2006/relationships" ref="D62" r:id="rId83"/>
    <hyperlink xmlns:r="http://schemas.openxmlformats.org/officeDocument/2006/relationships" ref="E62" r:id="rId84"/>
    <hyperlink xmlns:r="http://schemas.openxmlformats.org/officeDocument/2006/relationships" ref="D66" r:id="rId85"/>
    <hyperlink xmlns:r="http://schemas.openxmlformats.org/officeDocument/2006/relationships" ref="E66" r:id="rId86"/>
    <hyperlink xmlns:r="http://schemas.openxmlformats.org/officeDocument/2006/relationships" ref="D67" r:id="rId87"/>
    <hyperlink xmlns:r="http://schemas.openxmlformats.org/officeDocument/2006/relationships" ref="E67" r:id="rId88"/>
    <hyperlink xmlns:r="http://schemas.openxmlformats.org/officeDocument/2006/relationships" ref="D68" r:id="rId89"/>
    <hyperlink xmlns:r="http://schemas.openxmlformats.org/officeDocument/2006/relationships" ref="E68" r:id="rId90"/>
    <hyperlink xmlns:r="http://schemas.openxmlformats.org/officeDocument/2006/relationships" ref="D69" r:id="rId91"/>
    <hyperlink xmlns:r="http://schemas.openxmlformats.org/officeDocument/2006/relationships" ref="E69" r:id="rId92"/>
    <hyperlink xmlns:r="http://schemas.openxmlformats.org/officeDocument/2006/relationships" ref="D70" r:id="rId93"/>
    <hyperlink xmlns:r="http://schemas.openxmlformats.org/officeDocument/2006/relationships" ref="E70" r:id="rId94"/>
    <hyperlink xmlns:r="http://schemas.openxmlformats.org/officeDocument/2006/relationships" ref="D71" r:id="rId95"/>
    <hyperlink xmlns:r="http://schemas.openxmlformats.org/officeDocument/2006/relationships" ref="E71" r:id="rId96"/>
    <hyperlink xmlns:r="http://schemas.openxmlformats.org/officeDocument/2006/relationships" ref="D72" r:id="rId97"/>
    <hyperlink xmlns:r="http://schemas.openxmlformats.org/officeDocument/2006/relationships" ref="E72" r:id="rId98"/>
    <hyperlink xmlns:r="http://schemas.openxmlformats.org/officeDocument/2006/relationships" ref="D73" r:id="rId99"/>
    <hyperlink xmlns:r="http://schemas.openxmlformats.org/officeDocument/2006/relationships" ref="E73" r:id="rId100"/>
    <hyperlink xmlns:r="http://schemas.openxmlformats.org/officeDocument/2006/relationships" ref="D77" r:id="rId101"/>
    <hyperlink xmlns:r="http://schemas.openxmlformats.org/officeDocument/2006/relationships" ref="E77" r:id="rId102"/>
    <hyperlink xmlns:r="http://schemas.openxmlformats.org/officeDocument/2006/relationships" ref="D78" r:id="rId103"/>
    <hyperlink xmlns:r="http://schemas.openxmlformats.org/officeDocument/2006/relationships" ref="E78" r:id="rId104"/>
    <hyperlink xmlns:r="http://schemas.openxmlformats.org/officeDocument/2006/relationships" ref="D79" r:id="rId105"/>
    <hyperlink xmlns:r="http://schemas.openxmlformats.org/officeDocument/2006/relationships" ref="E79" r:id="rId106"/>
    <hyperlink xmlns:r="http://schemas.openxmlformats.org/officeDocument/2006/relationships" ref="D80" r:id="rId107"/>
    <hyperlink xmlns:r="http://schemas.openxmlformats.org/officeDocument/2006/relationships" ref="E80" r:id="rId108"/>
    <hyperlink xmlns:r="http://schemas.openxmlformats.org/officeDocument/2006/relationships" ref="D81" r:id="rId109"/>
    <hyperlink xmlns:r="http://schemas.openxmlformats.org/officeDocument/2006/relationships" ref="E81" r:id="rId110"/>
    <hyperlink xmlns:r="http://schemas.openxmlformats.org/officeDocument/2006/relationships" ref="D85" r:id="rId111"/>
    <hyperlink xmlns:r="http://schemas.openxmlformats.org/officeDocument/2006/relationships" ref="E85" r:id="rId112"/>
    <hyperlink xmlns:r="http://schemas.openxmlformats.org/officeDocument/2006/relationships" ref="D86" r:id="rId113"/>
    <hyperlink xmlns:r="http://schemas.openxmlformats.org/officeDocument/2006/relationships" ref="E86" r:id="rId114"/>
    <hyperlink xmlns:r="http://schemas.openxmlformats.org/officeDocument/2006/relationships" ref="D87" r:id="rId115"/>
    <hyperlink xmlns:r="http://schemas.openxmlformats.org/officeDocument/2006/relationships" ref="E87" r:id="rId116"/>
    <hyperlink xmlns:r="http://schemas.openxmlformats.org/officeDocument/2006/relationships" ref="D88" r:id="rId117"/>
    <hyperlink xmlns:r="http://schemas.openxmlformats.org/officeDocument/2006/relationships" ref="E88" r:id="rId118"/>
    <hyperlink xmlns:r="http://schemas.openxmlformats.org/officeDocument/2006/relationships" ref="D89" r:id="rId119"/>
    <hyperlink xmlns:r="http://schemas.openxmlformats.org/officeDocument/2006/relationships" ref="E89" r:id="rId120"/>
    <hyperlink xmlns:r="http://schemas.openxmlformats.org/officeDocument/2006/relationships" ref="D90" r:id="rId121"/>
    <hyperlink xmlns:r="http://schemas.openxmlformats.org/officeDocument/2006/relationships" ref="E90" r:id="rId122"/>
    <hyperlink xmlns:r="http://schemas.openxmlformats.org/officeDocument/2006/relationships" ref="D91" r:id="rId123"/>
    <hyperlink xmlns:r="http://schemas.openxmlformats.org/officeDocument/2006/relationships" ref="E91" r:id="rId124"/>
    <hyperlink xmlns:r="http://schemas.openxmlformats.org/officeDocument/2006/relationships" ref="D92" r:id="rId125"/>
    <hyperlink xmlns:r="http://schemas.openxmlformats.org/officeDocument/2006/relationships" ref="E92" r:id="rId1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2026-08-05T10:11:19Z</dcterms:created>
  <dcterms:modified xmlns:dcterms="http://purl.org/dc/terms/" xmlns:xsi="http://www.w3.org/2001/XMLSchema-instance" xsi:type="dcterms:W3CDTF">2026-08-05T10:11:19Z</dcterms:modified>
</cp:coreProperties>
</file>