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30"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ASTRAL</t>
        </is>
      </c>
      <c r="B2" t="inlineStr">
        <is>
          <t>NSE:ASTRAL</t>
        </is>
      </c>
      <c r="C2" t="inlineStr">
        <is>
          <t>Miscellaneous Manufacturing</t>
        </is>
      </c>
      <c r="D2" t="n">
        <v>65686000000</v>
      </c>
      <c r="E2" t="n">
        <v>5366000000</v>
      </c>
      <c r="F2" t="n">
        <v>4899</v>
      </c>
      <c r="G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H2" s="2">
        <f>HYPERLINK("https://astralltd.com", "https://astralltd.com")</f>
        <v/>
      </c>
      <c r="I2" s="2">
        <f>HYPERLINK("https://www.linkedin.com/company/astralpipesofficial", "https://www.linkedin.com/company/astralpipesofficial")</f>
        <v/>
      </c>
      <c r="J2" s="3" t="inlineStr">
        <is>
          <t>Verified</t>
        </is>
      </c>
    </row>
    <row r="3">
      <c r="A3" t="inlineStr">
        <is>
          <t>VGUARD</t>
        </is>
      </c>
      <c r="B3" t="inlineStr">
        <is>
          <t>NSE:VGUARD</t>
        </is>
      </c>
      <c r="C3" t="inlineStr">
        <is>
          <t>Electrical Products</t>
        </is>
      </c>
      <c r="D3" t="n">
        <v>63103500000</v>
      </c>
      <c r="E3" t="n">
        <v>3647300000</v>
      </c>
      <c r="F3" t="n">
        <v>3219</v>
      </c>
      <c r="G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H3" s="2">
        <f>HYPERLINK("https://www.vguard.in", "https://www.vguard.in")</f>
        <v/>
      </c>
      <c r="I3" s="2">
        <f>HYPERLINK("https://www.linkedin.com/company/v-guard", "https://www.linkedin.com/company/v-guard")</f>
        <v/>
      </c>
      <c r="J3" s="3" t="inlineStr">
        <is>
          <t>Verified</t>
        </is>
      </c>
    </row>
    <row r="4">
      <c r="A4" t="inlineStr">
        <is>
          <t>SUNDRMFAST</t>
        </is>
      </c>
      <c r="B4" t="inlineStr">
        <is>
          <t>BSE:SUNDRMFAST</t>
        </is>
      </c>
      <c r="C4" t="inlineStr">
        <is>
          <t>Auto Parts: OEM</t>
        </is>
      </c>
      <c r="D4" t="n">
        <v>62888200000</v>
      </c>
      <c r="E4" t="n">
        <v>5911900000</v>
      </c>
      <c r="F4" t="n">
        <v>3185</v>
      </c>
      <c r="G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bearing housings, spokes and nipples, automobile kits, dowels and rollers, small screws, and tools, as well as precision forged components for use in heavy vehicles for on-highway and off-highway applications; and provides financial and software services. Sundram Fasteners Limited was incorporated in 1962 and is headquartered in Chennai, India.</t>
        </is>
      </c>
      <c r="H4" s="2">
        <f>HYPERLINK("https://www.sundram.com", "https://www.sundram.com")</f>
        <v/>
      </c>
      <c r="I4" s="2">
        <f>HYPERLINK("https://www.linkedin.com/company/sundram-fasteners", "https://www.linkedin.com/company/sundram-fasteners")</f>
        <v/>
      </c>
      <c r="J4" s="3" t="inlineStr">
        <is>
          <t>Verified</t>
        </is>
      </c>
    </row>
    <row r="5">
      <c r="A5" t="inlineStr">
        <is>
          <t>JBMA</t>
        </is>
      </c>
      <c r="B5" t="inlineStr">
        <is>
          <t>BSE:JBMA</t>
        </is>
      </c>
      <c r="C5" t="inlineStr">
        <is>
          <t>Auto Parts: OEM</t>
        </is>
      </c>
      <c r="D5" t="n">
        <v>62769400000</v>
      </c>
      <c r="E5" t="n">
        <v>2241800000</v>
      </c>
      <c r="F5" t="n">
        <v>3555</v>
      </c>
      <c r="G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H5" s="2">
        <f>HYPERLINK("https://www.jbmgroup.com", "https://www.jbmgroup.com")</f>
        <v/>
      </c>
      <c r="I5" s="2">
        <f>HYPERLINK("https://www.linkedin.com/company/jbm-group", "https://www.linkedin.com/company/jbm-group")</f>
        <v/>
      </c>
      <c r="J5" s="3" t="inlineStr">
        <is>
          <t>Verified</t>
        </is>
      </c>
    </row>
    <row r="6">
      <c r="A6" t="inlineStr">
        <is>
          <t>MINDACORP</t>
        </is>
      </c>
      <c r="B6" t="inlineStr">
        <is>
          <t>BSE:MINDACORP</t>
        </is>
      </c>
      <c r="C6" t="inlineStr">
        <is>
          <t>Auto Parts: OEM</t>
        </is>
      </c>
      <c r="D6" t="n">
        <v>61853400000</v>
      </c>
      <c r="E6" t="n">
        <v>3602600000</v>
      </c>
      <c r="F6" t="n">
        <v>3405</v>
      </c>
      <c r="G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H6" s="2">
        <f>HYPERLINK("https://sparkminda.com", "https://sparkminda.com")</f>
        <v/>
      </c>
      <c r="I6" s="2">
        <f>HYPERLINK("https://www.linkedin.com/company/sparkminda", "https://www.linkedin.com/company/sparkminda")</f>
        <v/>
      </c>
      <c r="J6" s="3" t="inlineStr">
        <is>
          <t>Verified</t>
        </is>
      </c>
    </row>
    <row r="7">
      <c r="A7" t="inlineStr">
        <is>
          <t>RAMRAT</t>
        </is>
      </c>
      <c r="B7" t="inlineStr">
        <is>
          <t>BSE:RAMRAT</t>
        </is>
      </c>
      <c r="C7" t="inlineStr">
        <is>
          <t>Electrical Products</t>
        </is>
      </c>
      <c r="D7" t="n">
        <v>60474618000</v>
      </c>
      <c r="E7" t="n">
        <v>1268083000</v>
      </c>
      <c r="F7" t="n">
        <v>1288</v>
      </c>
      <c r="G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H7" s="2">
        <f>HYPERLINK("https://www.rrshramik.com", "https://www.rrshramik.com")</f>
        <v/>
      </c>
      <c r="I7" s="2">
        <f>HYPERLINK("https://www.linkedin.com/company/rr-sharamik", "https://www.linkedin.com/company/rr-sharamik")</f>
        <v/>
      </c>
      <c r="J7" s="3" t="inlineStr">
        <is>
          <t>Verified</t>
        </is>
      </c>
    </row>
    <row r="8">
      <c r="A8" t="inlineStr">
        <is>
          <t>RANEHOLDIN</t>
        </is>
      </c>
      <c r="B8" t="inlineStr">
        <is>
          <t>NSE:RANEHOLDIN</t>
        </is>
      </c>
      <c r="C8" t="inlineStr">
        <is>
          <t>Auto Parts: OEM</t>
        </is>
      </c>
      <c r="D8" t="n">
        <v>58833100000</v>
      </c>
      <c r="E8" t="n">
        <v>978700000</v>
      </c>
      <c r="F8" t="n">
        <v>130</v>
      </c>
      <c r="G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H8" s="2">
        <f>HYPERLINK("https://www.ranegroup.com", "https://www.ranegroup.com")</f>
        <v/>
      </c>
      <c r="I8" s="2">
        <f>HYPERLINK("https://www.linkedin.com/company/rane-holdings-limited", "https://www.linkedin.com/company/rane-holdings-limited")</f>
        <v/>
      </c>
      <c r="J8" s="3" t="inlineStr">
        <is>
          <t>Verified</t>
        </is>
      </c>
    </row>
    <row r="9">
      <c r="A9" t="inlineStr">
        <is>
          <t>CENTURYPLY</t>
        </is>
      </c>
      <c r="B9" t="inlineStr">
        <is>
          <t>NSE:CENTURYPLY</t>
        </is>
      </c>
      <c r="C9" t="inlineStr">
        <is>
          <t>Building Products</t>
        </is>
      </c>
      <c r="D9" t="n">
        <v>57892045000</v>
      </c>
      <c r="E9" t="n">
        <v>2911405000</v>
      </c>
      <c r="F9" t="inlineStr"/>
      <c r="G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H9" s="2">
        <f>HYPERLINK("https://www.centuryply.com", "https://www.centuryply.com")</f>
        <v/>
      </c>
      <c r="I9" s="2">
        <f>HYPERLINK("https://www.linkedin.com/company/century-plyboards-limited", "https://www.linkedin.com/company/century-plyboards-limited")</f>
        <v/>
      </c>
      <c r="J9" s="3" t="inlineStr">
        <is>
          <t>Verified</t>
        </is>
      </c>
    </row>
    <row r="10">
      <c r="A10" t="inlineStr">
        <is>
          <t>WHEELS</t>
        </is>
      </c>
      <c r="B10" t="inlineStr">
        <is>
          <t>NSE:WHEELS</t>
        </is>
      </c>
      <c r="C10" t="inlineStr">
        <is>
          <t>Auto Parts: OEM</t>
        </is>
      </c>
      <c r="D10" t="n">
        <v>56904400000</v>
      </c>
      <c r="E10" t="n">
        <v>1634600000</v>
      </c>
      <c r="F10" t="n">
        <v>2735</v>
      </c>
      <c r="G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H10" s="2">
        <f>HYPERLINK("https://www.wheelsindia.com", "https://www.wheelsindia.com")</f>
        <v/>
      </c>
      <c r="I10" t="inlineStr">
        <is>
          <t>NOT FOUND</t>
        </is>
      </c>
      <c r="J10" s="3" t="inlineStr">
        <is>
          <t>Verified</t>
        </is>
      </c>
    </row>
    <row r="11">
      <c r="A11" t="inlineStr">
        <is>
          <t>SSWL</t>
        </is>
      </c>
      <c r="B11" t="inlineStr">
        <is>
          <t>NSE:SSWL</t>
        </is>
      </c>
      <c r="C11" t="inlineStr">
        <is>
          <t>Auto Parts: OEM</t>
        </is>
      </c>
      <c r="D11" t="n">
        <v>55058362000</v>
      </c>
      <c r="E11" t="n">
        <v>2124273000</v>
      </c>
      <c r="F11" t="inlineStr"/>
      <c r="G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H11" s="2">
        <f>HYPERLINK("https://sswlindia.com", "https://sswlindia.com")</f>
        <v/>
      </c>
      <c r="I11" s="2">
        <f>HYPERLINK("https://www.linkedin.com/company/steel-strips-wheels-limited", "https://www.linkedin.com/company/steel-strips-wheels-limited")</f>
        <v/>
      </c>
      <c r="J11" s="3"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15" customWidth="1" min="1" max="1"/>
    <col width="18" customWidth="1" min="2" max="2"/>
    <col width="19" customWidth="1" min="3" max="3"/>
    <col width="12" customWidth="1" min="4" max="4"/>
    <col width="60" customWidth="1" min="5" max="5"/>
    <col width="30" customWidth="1" min="6" max="6"/>
    <col width="26" customWidth="1" min="7" max="7"/>
  </cols>
  <sheetData>
    <row r="1">
      <c r="A1" s="1" t="inlineStr">
        <is>
          <t>Company Name</t>
        </is>
      </c>
      <c r="B1" s="1" t="inlineStr">
        <is>
          <t>Company Website</t>
        </is>
      </c>
      <c r="C1" s="1" t="inlineStr">
        <is>
          <t>Company LinkedIn</t>
        </is>
      </c>
      <c r="D1" s="1" t="inlineStr">
        <is>
          <t>Location</t>
        </is>
      </c>
      <c r="E1" s="1" t="inlineStr">
        <is>
          <t>Decision Maker Position</t>
        </is>
      </c>
      <c r="F1" s="1" t="inlineStr">
        <is>
          <t>Decision Maker Name</t>
        </is>
      </c>
      <c r="G1" s="1" t="inlineStr">
        <is>
          <t>Decision Maker LinkedIn</t>
        </is>
      </c>
    </row>
    <row r="2">
      <c r="A2" t="inlineStr">
        <is>
          <t>ASTRAL</t>
        </is>
      </c>
      <c r="B2" s="2">
        <f>HYPERLINK("https://astralltd.com", "https://astralltd.com")</f>
        <v/>
      </c>
      <c r="C2" s="2">
        <f>HYPERLINK("https://www.linkedin.com/company/astralpipesofficial", "https://www.linkedin.com/company/astralpipesofficial")</f>
        <v/>
      </c>
      <c r="D2" t="inlineStr">
        <is>
          <t>India</t>
        </is>
      </c>
      <c r="E2" t="inlineStr">
        <is>
          <t>Executive Director, Astral Limited</t>
        </is>
      </c>
      <c r="F2" t="inlineStr">
        <is>
          <t>Kairav Engineer</t>
        </is>
      </c>
      <c r="G2" s="2">
        <f>HYPERLINK("https://in.linkedin.com/in/kairav-engineer-79682530", "https://in.linkedin.com/in/kairav-engineer-79682530")</f>
        <v/>
      </c>
    </row>
    <row r="3">
      <c r="A3" t="inlineStr">
        <is>
          <t>ASTRAL</t>
        </is>
      </c>
      <c r="B3" s="2">
        <f>HYPERLINK("https://astralltd.com", "https://astralltd.com")</f>
        <v/>
      </c>
      <c r="C3" s="2">
        <f>HYPERLINK("https://www.linkedin.com/company/astralpipesofficial", "https://www.linkedin.com/company/astralpipesofficial")</f>
        <v/>
      </c>
      <c r="D3" t="inlineStr">
        <is>
          <t>India</t>
        </is>
      </c>
      <c r="E3" t="inlineStr">
        <is>
          <t>Chief Executive Officer, Adhesives &amp; Paints Business, Astral Limited</t>
        </is>
      </c>
      <c r="F3" t="inlineStr">
        <is>
          <t>Saumya Engineer</t>
        </is>
      </c>
      <c r="G3" s="2">
        <f>HYPERLINK("https://in.linkedin.com/in/saumya-engineer-6a8803206", "https://in.linkedin.com/in/saumya-engineer-6a8803206")</f>
        <v/>
      </c>
    </row>
    <row r="4">
      <c r="A4" t="inlineStr">
        <is>
          <t>ASTRAL</t>
        </is>
      </c>
      <c r="B4" s="2">
        <f>HYPERLINK("https://astralltd.com", "https://astralltd.com")</f>
        <v/>
      </c>
      <c r="C4" s="2">
        <f>HYPERLINK("https://www.linkedin.com/company/astralpipesofficial", "https://www.linkedin.com/company/astralpipesofficial")</f>
        <v/>
      </c>
      <c r="D4" t="inlineStr">
        <is>
          <t>India</t>
        </is>
      </c>
      <c r="E4" t="inlineStr">
        <is>
          <t>Director, Astral</t>
        </is>
      </c>
      <c r="F4" t="inlineStr">
        <is>
          <t>Vinod Mane</t>
        </is>
      </c>
      <c r="G4" s="2">
        <f>HYPERLINK("https://in.linkedin.com/in/vinod-mane-a67b3740", "https://in.linkedin.com/in/vinod-mane-a67b3740")</f>
        <v/>
      </c>
    </row>
    <row r="5">
      <c r="A5" t="inlineStr">
        <is>
          <t>ASTRAL</t>
        </is>
      </c>
      <c r="B5" s="2">
        <f>HYPERLINK("https://astralltd.com", "https://astralltd.com")</f>
        <v/>
      </c>
      <c r="C5" s="2">
        <f>HYPERLINK("https://www.linkedin.com/company/astralpipesofficial", "https://www.linkedin.com/company/astralpipesofficial")</f>
        <v/>
      </c>
      <c r="D5" t="inlineStr">
        <is>
          <t>India</t>
        </is>
      </c>
      <c r="E5" t="inlineStr">
        <is>
          <t>General Manager - HR, Corporate Office, Astral Limited</t>
        </is>
      </c>
      <c r="F5" t="inlineStr">
        <is>
          <t>Viral Mankodi</t>
        </is>
      </c>
      <c r="G5" s="2">
        <f>HYPERLINK("https://in.linkedin.com/in/viral-mankodi-6642a06", "https://in.linkedin.com/in/viral-mankodi-6642a06")</f>
        <v/>
      </c>
    </row>
    <row r="6">
      <c r="A6" t="inlineStr">
        <is>
          <t>ASTRAL</t>
        </is>
      </c>
      <c r="B6" s="2">
        <f>HYPERLINK("https://astralltd.com", "https://astralltd.com")</f>
        <v/>
      </c>
      <c r="C6" s="2">
        <f>HYPERLINK("https://www.linkedin.com/company/astralpipesofficial", "https://www.linkedin.com/company/astralpipesofficial")</f>
        <v/>
      </c>
      <c r="D6" t="inlineStr">
        <is>
          <t>India</t>
        </is>
      </c>
      <c r="E6" t="inlineStr">
        <is>
          <t>Vice President (Projects), ASTRAL LIMITED</t>
        </is>
      </c>
      <c r="F6" t="inlineStr">
        <is>
          <t>Vikas Sharma</t>
        </is>
      </c>
      <c r="G6" s="2">
        <f>HYPERLINK("https://in.linkedin.com/in/vikas-sharma-20970921", "https://in.linkedin.com/in/vikas-sharma-20970921")</f>
        <v/>
      </c>
    </row>
    <row r="7">
      <c r="A7" t="inlineStr">
        <is>
          <t>VGUARD</t>
        </is>
      </c>
      <c r="B7" s="2">
        <f>HYPERLINK("https://www.vguard.in", "https://www.vguard.in")</f>
        <v/>
      </c>
      <c r="C7" s="2">
        <f>HYPERLINK("https://www.linkedin.com/company/v-guard", "https://www.linkedin.com/company/v-guard")</f>
        <v/>
      </c>
      <c r="D7" t="inlineStr">
        <is>
          <t>India</t>
        </is>
      </c>
      <c r="E7" t="inlineStr">
        <is>
          <t>Chief Financial Officer, V-Guard Consumer Products Ltd.</t>
        </is>
      </c>
      <c r="F7" t="inlineStr">
        <is>
          <t>Saleesh Sekhar</t>
        </is>
      </c>
      <c r="G7" s="2">
        <f>HYPERLINK("https://in.linkedin.com/in/saleesh-sekhar-330077a7", "https://in.linkedin.com/in/saleesh-sekhar-330077a7")</f>
        <v/>
      </c>
    </row>
    <row r="8">
      <c r="A8" t="inlineStr">
        <is>
          <t>VGUARD</t>
        </is>
      </c>
      <c r="B8" s="2">
        <f>HYPERLINK("https://www.vguard.in", "https://www.vguard.in")</f>
        <v/>
      </c>
      <c r="C8" s="2">
        <f>HYPERLINK("https://www.linkedin.com/company/v-guard", "https://www.linkedin.com/company/v-guard")</f>
        <v/>
      </c>
      <c r="D8" t="inlineStr">
        <is>
          <t>India</t>
        </is>
      </c>
      <c r="E8" t="inlineStr">
        <is>
          <t>Head of Commercial Operations, V-Guard</t>
        </is>
      </c>
      <c r="F8" t="inlineStr">
        <is>
          <t>Suresh Balakrishnan</t>
        </is>
      </c>
      <c r="G8" s="2">
        <f>HYPERLINK("https://in.linkedin.com/in/suresh-balakrishnan-547432269", "https://in.linkedin.com/in/suresh-balakrishnan-547432269")</f>
        <v/>
      </c>
    </row>
    <row r="9">
      <c r="A9" t="inlineStr">
        <is>
          <t>VGUARD</t>
        </is>
      </c>
      <c r="B9" s="2">
        <f>HYPERLINK("https://www.vguard.in", "https://www.vguard.in")</f>
        <v/>
      </c>
      <c r="C9" s="2">
        <f>HYPERLINK("https://www.linkedin.com/company/v-guard", "https://www.linkedin.com/company/v-guard")</f>
        <v/>
      </c>
      <c r="D9" t="inlineStr">
        <is>
          <t>India</t>
        </is>
      </c>
      <c r="E9" t="inlineStr">
        <is>
          <t>Asst. Vice President – West / Regional Sales Head – West, V-Guard Industries Ltd.</t>
        </is>
      </c>
      <c r="F9" t="inlineStr">
        <is>
          <t>Nimesh Shah</t>
        </is>
      </c>
      <c r="G9" s="2">
        <f>HYPERLINK("https://in.linkedin.com/in/nimesh-shah-83846551", "https://in.linkedin.com/in/nimesh-shah-83846551")</f>
        <v/>
      </c>
    </row>
    <row r="10">
      <c r="A10" t="inlineStr">
        <is>
          <t>VGUARD</t>
        </is>
      </c>
      <c r="B10" s="2">
        <f>HYPERLINK("https://www.vguard.in", "https://www.vguard.in")</f>
        <v/>
      </c>
      <c r="C10" s="2">
        <f>HYPERLINK("https://www.linkedin.com/company/v-guard", "https://www.linkedin.com/company/v-guard")</f>
        <v/>
      </c>
      <c r="D10" t="inlineStr">
        <is>
          <t>India</t>
        </is>
      </c>
      <c r="E10" t="inlineStr">
        <is>
          <t>Business Unit Head / Lead, V-Guard</t>
        </is>
      </c>
      <c r="F10" t="inlineStr">
        <is>
          <t>Jayash K J</t>
        </is>
      </c>
      <c r="G10" s="2">
        <f>HYPERLINK("https://in.linkedin.com/in/jayash-k-j-a690ba45", "https://in.linkedin.com/in/jayash-k-j-a690ba45")</f>
        <v/>
      </c>
    </row>
    <row r="11">
      <c r="A11" t="inlineStr">
        <is>
          <t>VGUARD</t>
        </is>
      </c>
      <c r="B11" s="2">
        <f>HYPERLINK("https://www.vguard.in", "https://www.vguard.in")</f>
        <v/>
      </c>
      <c r="C11" s="2">
        <f>HYPERLINK("https://www.linkedin.com/company/v-guard", "https://www.linkedin.com/company/v-guard")</f>
        <v/>
      </c>
      <c r="D11" t="inlineStr">
        <is>
          <t>India</t>
        </is>
      </c>
      <c r="E11" t="inlineStr">
        <is>
          <t>Deputy General Manager - Sourcing, V-Guard</t>
        </is>
      </c>
      <c r="F11" t="inlineStr">
        <is>
          <t>Sajesh R</t>
        </is>
      </c>
      <c r="G11" s="2">
        <f>HYPERLINK("https://in.linkedin.com/in/sajesh-r-740671222", "https://in.linkedin.com/in/sajesh-r-740671222")</f>
        <v/>
      </c>
    </row>
    <row r="12">
      <c r="A12" t="inlineStr">
        <is>
          <t>SUNDRMFAST</t>
        </is>
      </c>
      <c r="B12" s="2">
        <f>HYPERLINK("https://www.sundram.com", "https://www.sundram.com")</f>
        <v/>
      </c>
      <c r="C12" s="2">
        <f>HYPERLINK("https://www.linkedin.com/company/sundram-fasteners", "https://www.linkedin.com/company/sundram-fasteners")</f>
        <v/>
      </c>
      <c r="D12" t="inlineStr">
        <is>
          <t>India</t>
        </is>
      </c>
      <c r="E12" t="inlineStr">
        <is>
          <t>Executive Vice President - Operations</t>
        </is>
      </c>
      <c r="F12" t="inlineStr">
        <is>
          <t>Dr. Ramesh S</t>
        </is>
      </c>
      <c r="G12" s="2">
        <f>HYPERLINK("https://in.linkedin.com/in/dr-ramesh-s-569150223", "https://in.linkedin.com/in/dr-ramesh-s-569150223")</f>
        <v/>
      </c>
    </row>
    <row r="13">
      <c r="A13" t="inlineStr">
        <is>
          <t>SUNDRMFAST</t>
        </is>
      </c>
      <c r="B13" s="2">
        <f>HYPERLINK("https://www.sundram.com", "https://www.sundram.com")</f>
        <v/>
      </c>
      <c r="C13" s="2">
        <f>HYPERLINK("https://www.linkedin.com/company/sundram-fasteners", "https://www.linkedin.com/company/sundram-fasteners")</f>
        <v/>
      </c>
      <c r="D13" t="inlineStr">
        <is>
          <t>India</t>
        </is>
      </c>
      <c r="E13" t="inlineStr">
        <is>
          <t>Executive Director</t>
        </is>
      </c>
      <c r="F13" t="inlineStr">
        <is>
          <t>S V Mahesh</t>
        </is>
      </c>
      <c r="G13" s="2">
        <f>HYPERLINK("https://in.linkedin.com/in/s-v-mahesh-b64a745", "https://in.linkedin.com/in/s-v-mahesh-b64a745")</f>
        <v/>
      </c>
    </row>
    <row r="14">
      <c r="A14" t="inlineStr">
        <is>
          <t>SUNDRMFAST</t>
        </is>
      </c>
      <c r="B14" s="2">
        <f>HYPERLINK("https://www.sundram.com", "https://www.sundram.com")</f>
        <v/>
      </c>
      <c r="C14" s="2">
        <f>HYPERLINK("https://www.linkedin.com/company/sundram-fasteners", "https://www.linkedin.com/company/sundram-fasteners")</f>
        <v/>
      </c>
      <c r="D14" t="inlineStr">
        <is>
          <t>India</t>
        </is>
      </c>
      <c r="E14" t="inlineStr">
        <is>
          <t>Vice President - Finance</t>
        </is>
      </c>
      <c r="F14" t="inlineStr">
        <is>
          <t>M. Sundaram Srinivasan</t>
        </is>
      </c>
      <c r="G14" s="2">
        <f>HYPERLINK("https://in.linkedin.com/in/m-sundaram-srinivasan-648a5ba", "https://in.linkedin.com/in/m-sundaram-srinivasan-648a5ba")</f>
        <v/>
      </c>
    </row>
    <row r="15">
      <c r="A15" t="inlineStr">
        <is>
          <t>SUNDRMFAST</t>
        </is>
      </c>
      <c r="B15" s="2">
        <f>HYPERLINK("https://www.sundram.com", "https://www.sundram.com")</f>
        <v/>
      </c>
      <c r="C15" s="2">
        <f>HYPERLINK("https://www.linkedin.com/company/sundram-fasteners", "https://www.linkedin.com/company/sundram-fasteners")</f>
        <v/>
      </c>
      <c r="D15" t="inlineStr">
        <is>
          <t>India</t>
        </is>
      </c>
      <c r="E15" t="inlineStr">
        <is>
          <t>Plant HR and IR (TVS Sundram Fasteners)</t>
        </is>
      </c>
      <c r="F15" t="inlineStr">
        <is>
          <t>Ramesh Ponnusamy</t>
        </is>
      </c>
      <c r="G15" s="2">
        <f>HYPERLINK("https://in.linkedin.com/in/ramesh-ponnusamy-189112202", "https://in.linkedin.com/in/ramesh-ponnusamy-189112202")</f>
        <v/>
      </c>
    </row>
    <row r="16">
      <c r="A16" t="inlineStr">
        <is>
          <t>SUNDRMFAST</t>
        </is>
      </c>
      <c r="B16" s="2">
        <f>HYPERLINK("https://www.sundram.com", "https://www.sundram.com")</f>
        <v/>
      </c>
      <c r="C16" s="2">
        <f>HYPERLINK("https://www.linkedin.com/company/sundram-fasteners", "https://www.linkedin.com/company/sundram-fasteners")</f>
        <v/>
      </c>
      <c r="D16" t="inlineStr">
        <is>
          <t>India</t>
        </is>
      </c>
      <c r="E16" t="inlineStr">
        <is>
          <t>Executive Vice President - Marketing</t>
        </is>
      </c>
      <c r="F16" t="inlineStr">
        <is>
          <t>Krishnan Ramanujan</t>
        </is>
      </c>
      <c r="G16" s="2">
        <f>HYPERLINK("https://in.linkedin.com/in/krishnan-ramanujan-7246936", "https://in.linkedin.com/in/krishnan-ramanujan-7246936")</f>
        <v/>
      </c>
    </row>
    <row r="17">
      <c r="A17" t="inlineStr">
        <is>
          <t>SUNDRMFAST</t>
        </is>
      </c>
      <c r="B17" s="2">
        <f>HYPERLINK("https://www.sundram.com", "https://www.sundram.com")</f>
        <v/>
      </c>
      <c r="C17" s="2">
        <f>HYPERLINK("https://www.linkedin.com/company/sundram-fasteners", "https://www.linkedin.com/company/sundram-fasteners")</f>
        <v/>
      </c>
      <c r="D17" t="inlineStr">
        <is>
          <t>India</t>
        </is>
      </c>
      <c r="E17" t="inlineStr">
        <is>
          <t>Head of Manufacturing</t>
        </is>
      </c>
      <c r="F17" t="inlineStr">
        <is>
          <t>Seshadri Ramanujam</t>
        </is>
      </c>
      <c r="G17" s="2">
        <f>HYPERLINK("https://in.linkedin.com/in/seshadri-ramanujam-9411178b", "https://in.linkedin.com/in/seshadri-ramanujam-9411178b")</f>
        <v/>
      </c>
    </row>
    <row r="18">
      <c r="A18" t="inlineStr">
        <is>
          <t>JBMA</t>
        </is>
      </c>
      <c r="B18" s="2">
        <f>HYPERLINK("https://www.jbmgroup.com", "https://www.jbmgroup.com")</f>
        <v/>
      </c>
      <c r="C18" s="2">
        <f>HYPERLINK("https://www.linkedin.com/company/jbm-group", "https://www.linkedin.com/company/jbm-group")</f>
        <v/>
      </c>
      <c r="D18" t="inlineStr">
        <is>
          <t>India</t>
        </is>
      </c>
      <c r="E18" t="inlineStr">
        <is>
          <t>President &amp; CFO at JBM Auto Ltd.</t>
        </is>
      </c>
      <c r="F18" t="inlineStr">
        <is>
          <t>Vivek Gupta</t>
        </is>
      </c>
      <c r="G18" s="2">
        <f>HYPERLINK("https://in.linkedin.com/in/vivek-gupta-61018422", "https://in.linkedin.com/in/vivek-gupta-61018422")</f>
        <v/>
      </c>
    </row>
    <row r="19">
      <c r="A19" t="inlineStr">
        <is>
          <t>JBMA</t>
        </is>
      </c>
      <c r="B19" s="2">
        <f>HYPERLINK("https://www.jbmgroup.com", "https://www.jbmgroup.com")</f>
        <v/>
      </c>
      <c r="C19" s="2">
        <f>HYPERLINK("https://www.linkedin.com/company/jbm-group", "https://www.linkedin.com/company/jbm-group")</f>
        <v/>
      </c>
      <c r="D19" t="inlineStr">
        <is>
          <t>India</t>
        </is>
      </c>
      <c r="E19" t="inlineStr">
        <is>
          <t>President &amp; Group CHRO, JBM Group</t>
        </is>
      </c>
      <c r="F19" t="inlineStr">
        <is>
          <t>Rajiv Sahdev</t>
        </is>
      </c>
      <c r="G19" s="2">
        <f>HYPERLINK("https://in.linkedin.com/in/rajiv-sahdev-7a436410", "https://in.linkedin.com/in/rajiv-sahdev-7a436410")</f>
        <v/>
      </c>
    </row>
    <row r="20">
      <c r="A20" t="inlineStr">
        <is>
          <t>JBMA</t>
        </is>
      </c>
      <c r="B20" s="2">
        <f>HYPERLINK("https://www.jbmgroup.com", "https://www.jbmgroup.com")</f>
        <v/>
      </c>
      <c r="C20" s="2">
        <f>HYPERLINK("https://www.linkedin.com/company/jbm-group", "https://www.linkedin.com/company/jbm-group")</f>
        <v/>
      </c>
      <c r="D20" t="inlineStr">
        <is>
          <t>India</t>
        </is>
      </c>
      <c r="E20" t="inlineStr">
        <is>
          <t>President &amp; Business Head, JBM Group</t>
        </is>
      </c>
      <c r="F20" t="inlineStr">
        <is>
          <t>Mayank Varma</t>
        </is>
      </c>
      <c r="G20" s="2">
        <f>HYPERLINK("https://in.linkedin.com/in/mayankvarma", "https://in.linkedin.com/in/mayankvarma")</f>
        <v/>
      </c>
    </row>
    <row r="21">
      <c r="A21" t="inlineStr">
        <is>
          <t>JBMA</t>
        </is>
      </c>
      <c r="B21" s="2">
        <f>HYPERLINK("https://www.jbmgroup.com", "https://www.jbmgroup.com")</f>
        <v/>
      </c>
      <c r="C21" s="2">
        <f>HYPERLINK("https://www.linkedin.com/company/jbm-group", "https://www.linkedin.com/company/jbm-group")</f>
        <v/>
      </c>
      <c r="D21" t="inlineStr">
        <is>
          <t>India</t>
        </is>
      </c>
      <c r="E21" t="inlineStr">
        <is>
          <t>President, JBM Group</t>
        </is>
      </c>
      <c r="F21" t="inlineStr">
        <is>
          <t>BB Gupta</t>
        </is>
      </c>
      <c r="G21" s="2">
        <f>HYPERLINK("https://in.linkedin.com/in/bb-gupta-39771911", "https://in.linkedin.com/in/bb-gupta-39771911")</f>
        <v/>
      </c>
    </row>
    <row r="22">
      <c r="A22" t="inlineStr">
        <is>
          <t>JBMA</t>
        </is>
      </c>
      <c r="B22" s="2">
        <f>HYPERLINK("https://www.jbmgroup.com", "https://www.jbmgroup.com")</f>
        <v/>
      </c>
      <c r="C22" s="2">
        <f>HYPERLINK("https://www.linkedin.com/company/jbm-group", "https://www.linkedin.com/company/jbm-group")</f>
        <v/>
      </c>
      <c r="D22" t="inlineStr">
        <is>
          <t>India</t>
        </is>
      </c>
      <c r="E22" t="inlineStr">
        <is>
          <t>Vice President &amp; Head Technology, JBM Group</t>
        </is>
      </c>
      <c r="F22" t="inlineStr">
        <is>
          <t>Jitender Goel</t>
        </is>
      </c>
      <c r="G22" s="2">
        <f>HYPERLINK("https://in.linkedin.com/in/jitender-goel-b044a034", "https://in.linkedin.com/in/jitender-goel-b044a034")</f>
        <v/>
      </c>
    </row>
    <row r="23">
      <c r="A23" t="inlineStr">
        <is>
          <t>JBMA</t>
        </is>
      </c>
      <c r="B23" s="2">
        <f>HYPERLINK("https://www.jbmgroup.com", "https://www.jbmgroup.com")</f>
        <v/>
      </c>
      <c r="C23" s="2">
        <f>HYPERLINK("https://www.linkedin.com/company/jbm-group", "https://www.linkedin.com/company/jbm-group")</f>
        <v/>
      </c>
      <c r="D23" t="inlineStr">
        <is>
          <t>India</t>
        </is>
      </c>
      <c r="E23" t="inlineStr">
        <is>
          <t>Executive Director, JBM Auto Ltd</t>
        </is>
      </c>
      <c r="F23" t="inlineStr">
        <is>
          <t>Dhiraj Mohan</t>
        </is>
      </c>
      <c r="G23" s="2">
        <f>HYPERLINK("https://in.linkedin.com/in/dhiraj-mohan-74958411", "https://in.linkedin.com/in/dhiraj-mohan-74958411")</f>
        <v/>
      </c>
    </row>
    <row r="24">
      <c r="A24" t="inlineStr">
        <is>
          <t>JBMA</t>
        </is>
      </c>
      <c r="B24" s="2">
        <f>HYPERLINK("https://www.jbmgroup.com", "https://www.jbmgroup.com")</f>
        <v/>
      </c>
      <c r="C24" s="2">
        <f>HYPERLINK("https://www.linkedin.com/company/jbm-group", "https://www.linkedin.com/company/jbm-group")</f>
        <v/>
      </c>
      <c r="D24" t="inlineStr">
        <is>
          <t>India</t>
        </is>
      </c>
      <c r="E24" t="inlineStr">
        <is>
          <t>Managing Director, JBM Group</t>
        </is>
      </c>
      <c r="F24" t="inlineStr">
        <is>
          <t>Amit Kumar</t>
        </is>
      </c>
      <c r="G24" s="2">
        <f>HYPERLINK("https://in.linkedin.com/in/amit-kumar-019752260", "https://in.linkedin.com/in/amit-kumar-019752260")</f>
        <v/>
      </c>
    </row>
    <row r="25">
      <c r="A25" t="inlineStr">
        <is>
          <t>JBMA</t>
        </is>
      </c>
      <c r="B25" s="2">
        <f>HYPERLINK("https://www.jbmgroup.com", "https://www.jbmgroup.com")</f>
        <v/>
      </c>
      <c r="C25" s="2">
        <f>HYPERLINK("https://www.linkedin.com/company/jbm-group", "https://www.linkedin.com/company/jbm-group")</f>
        <v/>
      </c>
      <c r="D25" t="inlineStr">
        <is>
          <t>India</t>
        </is>
      </c>
      <c r="E25" t="inlineStr">
        <is>
          <t>Operations Head 2W &amp; 3W (North &amp; West) / Management Professional, JBM Group</t>
        </is>
      </c>
      <c r="F25" t="inlineStr">
        <is>
          <t>Rajib Chowdhury</t>
        </is>
      </c>
      <c r="G25" s="2">
        <f>HYPERLINK("https://in.linkedin.com/in/rajibchowdhuryaba59319", "https://in.linkedin.com/in/rajibchowdhuryaba59319")</f>
        <v/>
      </c>
    </row>
    <row r="26">
      <c r="A26" t="inlineStr">
        <is>
          <t>JBMA</t>
        </is>
      </c>
      <c r="B26" s="2">
        <f>HYPERLINK("https://www.jbmgroup.com", "https://www.jbmgroup.com")</f>
        <v/>
      </c>
      <c r="C26" s="2">
        <f>HYPERLINK("https://www.linkedin.com/company/jbm-group", "https://www.linkedin.com/company/jbm-group")</f>
        <v/>
      </c>
      <c r="D26" t="inlineStr">
        <is>
          <t>India</t>
        </is>
      </c>
      <c r="E26" t="inlineStr">
        <is>
          <t>General Manager IT, JBM Group</t>
        </is>
      </c>
      <c r="F26" t="inlineStr">
        <is>
          <t>Lalit Kumar</t>
        </is>
      </c>
      <c r="G26" s="2">
        <f>HYPERLINK("https://in.linkedin.com/in/lalit-kumar-13770b31", "https://in.linkedin.com/in/lalit-kumar-13770b31")</f>
        <v/>
      </c>
    </row>
    <row r="27">
      <c r="A27" t="inlineStr">
        <is>
          <t>MINDACORP</t>
        </is>
      </c>
      <c r="B27" s="2">
        <f>HYPERLINK("https://sparkminda.com", "https://sparkminda.com")</f>
        <v/>
      </c>
      <c r="C27" s="2">
        <f>HYPERLINK("https://www.linkedin.com/company/sparkminda", "https://www.linkedin.com/company/sparkminda")</f>
        <v/>
      </c>
      <c r="D27" t="inlineStr">
        <is>
          <t>India</t>
        </is>
      </c>
      <c r="E27" t="inlineStr">
        <is>
          <t>CEO at Minda Corporation Limited</t>
        </is>
      </c>
      <c r="F27" t="inlineStr">
        <is>
          <t>Sumit Doseja</t>
        </is>
      </c>
      <c r="G27" s="2">
        <f>HYPERLINK("https://in.linkedin.com/in/sumit-doseja-80442016", "https://in.linkedin.com/in/sumit-doseja-80442016")</f>
        <v/>
      </c>
    </row>
    <row r="28">
      <c r="A28" t="inlineStr">
        <is>
          <t>MINDACORP</t>
        </is>
      </c>
      <c r="B28" s="2">
        <f>HYPERLINK("https://sparkminda.com", "https://sparkminda.com")</f>
        <v/>
      </c>
      <c r="C28" s="2">
        <f>HYPERLINK("https://www.linkedin.com/company/sparkminda", "https://www.linkedin.com/company/sparkminda")</f>
        <v/>
      </c>
      <c r="D28" t="inlineStr">
        <is>
          <t>India</t>
        </is>
      </c>
      <c r="E28" t="inlineStr">
        <is>
          <t>Group Chief Executive Officer at Spark Minda</t>
        </is>
      </c>
      <c r="F28" t="inlineStr">
        <is>
          <t>Ashok Minda</t>
        </is>
      </c>
      <c r="G28" s="2">
        <f>HYPERLINK("https://in.linkedin.com/in/ashok-minda-3543a51a4", "https://in.linkedin.com/in/ashok-minda-3543a51a4")</f>
        <v/>
      </c>
    </row>
    <row r="29">
      <c r="A29" t="inlineStr">
        <is>
          <t>MINDACORP</t>
        </is>
      </c>
      <c r="B29" s="2">
        <f>HYPERLINK("https://sparkminda.com", "https://sparkminda.com")</f>
        <v/>
      </c>
      <c r="C29" s="2">
        <f>HYPERLINK("https://www.linkedin.com/company/sparkminda", "https://www.linkedin.com/company/sparkminda")</f>
        <v/>
      </c>
      <c r="D29" t="inlineStr">
        <is>
          <t>India</t>
        </is>
      </c>
      <c r="E29" t="inlineStr">
        <is>
          <t>CEO at Spark Minda, Ashok Minda Group</t>
        </is>
      </c>
      <c r="F29" t="inlineStr">
        <is>
          <t>Deepak Arora</t>
        </is>
      </c>
      <c r="G29" s="2">
        <f>HYPERLINK("https://in.linkedin.com/in/deepak-arora-57655215", "https://in.linkedin.com/in/deepak-arora-57655215")</f>
        <v/>
      </c>
    </row>
    <row r="30">
      <c r="A30" t="inlineStr">
        <is>
          <t>MINDACORP</t>
        </is>
      </c>
      <c r="B30" s="2">
        <f>HYPERLINK("https://sparkminda.com", "https://sparkminda.com")</f>
        <v/>
      </c>
      <c r="C30" s="2">
        <f>HYPERLINK("https://www.linkedin.com/company/sparkminda", "https://www.linkedin.com/company/sparkminda")</f>
        <v/>
      </c>
      <c r="D30" t="inlineStr">
        <is>
          <t>India</t>
        </is>
      </c>
      <c r="E30" t="inlineStr">
        <is>
          <t>Executive Director, Minda Corporation Ltd.</t>
        </is>
      </c>
      <c r="F30" t="inlineStr">
        <is>
          <t>Aakash Minda</t>
        </is>
      </c>
      <c r="G30" s="2">
        <f>HYPERLINK("https://in.linkedin.com/in/aakash-minda-638a1121", "https://in.linkedin.com/in/aakash-minda-638a1121")</f>
        <v/>
      </c>
    </row>
    <row r="31">
      <c r="A31" t="inlineStr">
        <is>
          <t>MINDACORP</t>
        </is>
      </c>
      <c r="B31" s="2">
        <f>HYPERLINK("https://sparkminda.com", "https://sparkminda.com")</f>
        <v/>
      </c>
      <c r="C31" s="2">
        <f>HYPERLINK("https://www.linkedin.com/company/sparkminda", "https://www.linkedin.com/company/sparkminda")</f>
        <v/>
      </c>
      <c r="D31" t="inlineStr">
        <is>
          <t>India</t>
        </is>
      </c>
      <c r="E31" t="inlineStr">
        <is>
          <t>CEO at Minda Corporation limited (AMD)</t>
        </is>
      </c>
      <c r="F31" t="inlineStr">
        <is>
          <t>Sunil Goel</t>
        </is>
      </c>
      <c r="G31" s="2">
        <f>HYPERLINK("https://in.linkedin.com/in/sunil-goel-4b275b24", "https://in.linkedin.com/in/sunil-goel-4b275b24")</f>
        <v/>
      </c>
    </row>
    <row r="32">
      <c r="A32" t="inlineStr">
        <is>
          <t>MINDACORP</t>
        </is>
      </c>
      <c r="B32" s="2">
        <f>HYPERLINK("https://sparkminda.com", "https://sparkminda.com")</f>
        <v/>
      </c>
      <c r="C32" s="2">
        <f>HYPERLINK("https://www.linkedin.com/company/sparkminda", "https://www.linkedin.com/company/sparkminda")</f>
        <v/>
      </c>
      <c r="D32" t="inlineStr">
        <is>
          <t>India</t>
        </is>
      </c>
      <c r="E32" t="inlineStr">
        <is>
          <t>Head IT at Minda Corporation Ltd</t>
        </is>
      </c>
      <c r="F32" t="inlineStr">
        <is>
          <t>Sachin Garg</t>
        </is>
      </c>
      <c r="G32" s="2">
        <f>HYPERLINK("https://in.linkedin.com/in/sachin-garg-a7070412", "https://in.linkedin.com/in/sachin-garg-a7070412")</f>
        <v/>
      </c>
    </row>
    <row r="33">
      <c r="A33" t="inlineStr">
        <is>
          <t>MINDACORP</t>
        </is>
      </c>
      <c r="B33" s="2">
        <f>HYPERLINK("https://sparkminda.com", "https://sparkminda.com")</f>
        <v/>
      </c>
      <c r="C33" s="2">
        <f>HYPERLINK("https://www.linkedin.com/company/sparkminda", "https://www.linkedin.com/company/sparkminda")</f>
        <v/>
      </c>
      <c r="D33" t="inlineStr">
        <is>
          <t>India</t>
        </is>
      </c>
      <c r="E33" t="inlineStr">
        <is>
          <t>CEO - Minda Corporation Ltd. Die Casting Division</t>
        </is>
      </c>
      <c r="F33" t="inlineStr">
        <is>
          <t>Ashim Vohra</t>
        </is>
      </c>
      <c r="G33" s="2">
        <f>HYPERLINK("https://in.linkedin.com/in/ashim-vohra-96691021", "https://in.linkedin.com/in/ashim-vohra-96691021")</f>
        <v/>
      </c>
    </row>
    <row r="34">
      <c r="A34" t="inlineStr">
        <is>
          <t>RAMRAT</t>
        </is>
      </c>
      <c r="B34" s="2">
        <f>HYPERLINK("https://www.rrshramik.com", "https://www.rrshramik.com")</f>
        <v/>
      </c>
      <c r="C34" s="2">
        <f>HYPERLINK("https://www.linkedin.com/company/rr-sharamik", "https://www.linkedin.com/company/rr-sharamik")</f>
        <v/>
      </c>
      <c r="D34" t="inlineStr">
        <is>
          <t>India</t>
        </is>
      </c>
      <c r="E34" t="inlineStr">
        <is>
          <t>Vice President at Ram Ratna Wires Ltd</t>
        </is>
      </c>
      <c r="F34" t="inlineStr">
        <is>
          <t>Vijay Chandak</t>
        </is>
      </c>
      <c r="G34" s="2">
        <f>HYPERLINK("https://in.linkedin.com/in/vijay-chandak-ramrat-chandak-ramratna-385169162", "https://in.linkedin.com/in/vijay-chandak-ramrat-chandak-ramratna-385169162")</f>
        <v/>
      </c>
    </row>
    <row r="35">
      <c r="A35" t="inlineStr">
        <is>
          <t>RAMRAT</t>
        </is>
      </c>
      <c r="B35" s="2">
        <f>HYPERLINK("https://www.rrshramik.com", "https://www.rrshramik.com")</f>
        <v/>
      </c>
      <c r="C35" s="2">
        <f>HYPERLINK("https://www.linkedin.com/company/rr-sharamik", "https://www.linkedin.com/company/rr-sharamik")</f>
        <v/>
      </c>
      <c r="D35" t="inlineStr">
        <is>
          <t>India</t>
        </is>
      </c>
      <c r="E35" t="inlineStr">
        <is>
          <t>Director at Ram Ratna Group of Industries</t>
        </is>
      </c>
      <c r="F35" t="inlineStr">
        <is>
          <t>Sudhir Masaji</t>
        </is>
      </c>
      <c r="G35" s="2">
        <f>HYPERLINK("https://in.linkedin.com/in/sudhir-masaji-a8429b35", "https://in.linkedin.com/in/sudhir-masaji-a8429b35")</f>
        <v/>
      </c>
    </row>
    <row r="36">
      <c r="A36" t="inlineStr">
        <is>
          <t>RAMRAT</t>
        </is>
      </c>
      <c r="B36" s="2">
        <f>HYPERLINK("https://www.rrshramik.com", "https://www.rrshramik.com")</f>
        <v/>
      </c>
      <c r="C36" s="2">
        <f>HYPERLINK("https://www.linkedin.com/company/rr-sharamik", "https://www.linkedin.com/company/rr-sharamik")</f>
        <v/>
      </c>
      <c r="D36" t="inlineStr">
        <is>
          <t>India</t>
        </is>
      </c>
      <c r="E36" t="inlineStr">
        <is>
          <t>Marketing Director at Ram Ratna Group</t>
        </is>
      </c>
      <c r="F36" t="inlineStr">
        <is>
          <t>Sanjay Taparia</t>
        </is>
      </c>
      <c r="G36" s="2">
        <f>HYPERLINK("https://in.linkedin.com/in/sanjay-taparia-0666b8115", "https://in.linkedin.com/in/sanjay-taparia-0666b8115")</f>
        <v/>
      </c>
    </row>
    <row r="37">
      <c r="A37" t="inlineStr">
        <is>
          <t>RAMRAT</t>
        </is>
      </c>
      <c r="B37" s="2">
        <f>HYPERLINK("https://www.rrshramik.com", "https://www.rrshramik.com")</f>
        <v/>
      </c>
      <c r="C37" s="2">
        <f>HYPERLINK("https://www.linkedin.com/company/rr-sharamik", "https://www.linkedin.com/company/rr-sharamik")</f>
        <v/>
      </c>
      <c r="D37" t="inlineStr">
        <is>
          <t>India</t>
        </is>
      </c>
      <c r="E37" t="inlineStr">
        <is>
          <t>Director</t>
        </is>
      </c>
      <c r="F37" t="inlineStr">
        <is>
          <t>Kaivan Shah</t>
        </is>
      </c>
      <c r="G37" s="2">
        <f>HYPERLINK("https://in.linkedin.com/in/kaivan-shah-76981199", "https://in.linkedin.com/in/kaivan-shah-76981199")</f>
        <v/>
      </c>
    </row>
    <row r="38">
      <c r="A38" t="inlineStr">
        <is>
          <t>RANEHOLDIN</t>
        </is>
      </c>
      <c r="B38" s="2">
        <f>HYPERLINK("https://www.ranegroup.com", "https://www.ranegroup.com")</f>
        <v/>
      </c>
      <c r="C38" s="2">
        <f>HYPERLINK("https://www.linkedin.com/company/rane-holdings-limited", "https://www.linkedin.com/company/rane-holdings-limited")</f>
        <v/>
      </c>
      <c r="D38" t="inlineStr">
        <is>
          <t>India</t>
        </is>
      </c>
      <c r="E38" t="inlineStr">
        <is>
          <t>Vice President, Operations at Rane Group</t>
        </is>
      </c>
      <c r="F38" t="inlineStr">
        <is>
          <t>Sridhar Subramanian</t>
        </is>
      </c>
      <c r="G38" s="2">
        <f>HYPERLINK("https://in.linkedin.com/in/sridhar-subramanian-178a8215b", "https://in.linkedin.com/in/sridhar-subramanian-178a8215b")</f>
        <v/>
      </c>
    </row>
    <row r="39">
      <c r="A39" t="inlineStr">
        <is>
          <t>RANEHOLDIN</t>
        </is>
      </c>
      <c r="B39" s="2">
        <f>HYPERLINK("https://www.ranegroup.com", "https://www.ranegroup.com")</f>
        <v/>
      </c>
      <c r="C39" s="2">
        <f>HYPERLINK("https://www.linkedin.com/company/rane-holdings-limited", "https://www.linkedin.com/company/rane-holdings-limited")</f>
        <v/>
      </c>
      <c r="D39" t="inlineStr">
        <is>
          <t>India</t>
        </is>
      </c>
      <c r="E39" t="inlineStr">
        <is>
          <t>President - Corporate at Rane Holdings Ltd</t>
        </is>
      </c>
      <c r="F39" t="inlineStr">
        <is>
          <t>Rajesh Raghavan</t>
        </is>
      </c>
      <c r="G39" s="2">
        <f>HYPERLINK("https://in.linkedin.com/in/rajesh-raghavan-900b8710", "https://in.linkedin.com/in/rajesh-raghavan-900b8710")</f>
        <v/>
      </c>
    </row>
    <row r="40">
      <c r="A40" t="inlineStr">
        <is>
          <t>RANEHOLDIN</t>
        </is>
      </c>
      <c r="B40" s="2">
        <f>HYPERLINK("https://www.ranegroup.com", "https://www.ranegroup.com")</f>
        <v/>
      </c>
      <c r="C40" s="2">
        <f>HYPERLINK("https://www.linkedin.com/company/rane-holdings-limited", "https://www.linkedin.com/company/rane-holdings-limited")</f>
        <v/>
      </c>
      <c r="D40" t="inlineStr">
        <is>
          <t>India</t>
        </is>
      </c>
      <c r="E40" t="inlineStr">
        <is>
          <t>SVP - HR at Rane Group</t>
        </is>
      </c>
      <c r="F40" t="inlineStr">
        <is>
          <t>Ramasubramanian Venkatraman</t>
        </is>
      </c>
      <c r="G40" s="2">
        <f>HYPERLINK("https://in.linkedin.com/in/ramasubramanianvenkatraman", "https://in.linkedin.com/in/ramasubramanianvenkatraman")</f>
        <v/>
      </c>
    </row>
    <row r="41">
      <c r="A41" t="inlineStr">
        <is>
          <t>RANEHOLDIN</t>
        </is>
      </c>
      <c r="B41" s="2">
        <f>HYPERLINK("https://www.ranegroup.com", "https://www.ranegroup.com")</f>
        <v/>
      </c>
      <c r="C41" s="2">
        <f>HYPERLINK("https://www.linkedin.com/company/rane-holdings-limited", "https://www.linkedin.com/company/rane-holdings-limited")</f>
        <v/>
      </c>
      <c r="D41" t="inlineStr">
        <is>
          <t>India</t>
        </is>
      </c>
      <c r="E41" t="inlineStr">
        <is>
          <t>General Manager - TQM at Rane Holdings Limited</t>
        </is>
      </c>
      <c r="F41" t="inlineStr">
        <is>
          <t>S Rajendra Kumar</t>
        </is>
      </c>
      <c r="G41" s="2">
        <f>HYPERLINK("https://in.linkedin.com/in/s-rajendra-kumar-a4355825", "https://in.linkedin.com/in/s-rajendra-kumar-a4355825")</f>
        <v/>
      </c>
    </row>
    <row r="42">
      <c r="A42" t="inlineStr">
        <is>
          <t>RANEHOLDIN</t>
        </is>
      </c>
      <c r="B42" s="2">
        <f>HYPERLINK("https://www.ranegroup.com", "https://www.ranegroup.com")</f>
        <v/>
      </c>
      <c r="C42" s="2">
        <f>HYPERLINK("https://www.linkedin.com/company/rane-holdings-limited", "https://www.linkedin.com/company/rane-holdings-limited")</f>
        <v/>
      </c>
      <c r="D42" t="inlineStr">
        <is>
          <t>India</t>
        </is>
      </c>
      <c r="E42" t="inlineStr">
        <is>
          <t>CEO - Rane (Madras) Limited</t>
        </is>
      </c>
      <c r="F42" t="inlineStr">
        <is>
          <t>Gowri Kailasam</t>
        </is>
      </c>
      <c r="G42" s="2">
        <f>HYPERLINK("https://in.linkedin.com/in/gowri-kailasam-31116b12", "https://in.linkedin.com/in/gowri-kailasam-31116b12")</f>
        <v/>
      </c>
    </row>
    <row r="43">
      <c r="A43" t="inlineStr">
        <is>
          <t>CENTURYPLY</t>
        </is>
      </c>
      <c r="B43" s="2">
        <f>HYPERLINK("https://www.centuryply.com", "https://www.centuryply.com")</f>
        <v/>
      </c>
      <c r="C43" s="2">
        <f>HYPERLINK("https://www.linkedin.com/company/century-plyboards-limited", "https://www.linkedin.com/company/century-plyboards-limited")</f>
        <v/>
      </c>
      <c r="D43" t="inlineStr">
        <is>
          <t>India</t>
        </is>
      </c>
      <c r="E43" t="inlineStr">
        <is>
          <t>CEO &amp; Managing Director</t>
        </is>
      </c>
      <c r="F43" t="inlineStr">
        <is>
          <t>Sanjay Agarwal</t>
        </is>
      </c>
      <c r="G43" s="2">
        <f>HYPERLINK("https://in.linkedin.com/in/sanjay-agarwal-b9504523", "https://in.linkedin.com/in/sanjay-agarwal-b9504523")</f>
        <v/>
      </c>
    </row>
    <row r="44">
      <c r="A44" t="inlineStr">
        <is>
          <t>CENTURYPLY</t>
        </is>
      </c>
      <c r="B44" s="2">
        <f>HYPERLINK("https://www.centuryply.com", "https://www.centuryply.com")</f>
        <v/>
      </c>
      <c r="C44" s="2">
        <f>HYPERLINK("https://www.linkedin.com/company/century-plyboards-limited", "https://www.linkedin.com/company/century-plyboards-limited")</f>
        <v/>
      </c>
      <c r="D44" t="inlineStr">
        <is>
          <t>India</t>
        </is>
      </c>
      <c r="E44" t="inlineStr">
        <is>
          <t>Executive Director</t>
        </is>
      </c>
      <c r="F44" t="inlineStr">
        <is>
          <t>Nikita Agarwal Bansal</t>
        </is>
      </c>
      <c r="G44" s="2">
        <f>HYPERLINK("https://in.linkedin.com/in/nikita-agarwal-bansal", "https://in.linkedin.com/in/nikita-agarwal-bansal")</f>
        <v/>
      </c>
    </row>
    <row r="45">
      <c r="A45" t="inlineStr">
        <is>
          <t>CENTURYPLY</t>
        </is>
      </c>
      <c r="B45" s="2">
        <f>HYPERLINK("https://www.centuryply.com", "https://www.centuryply.com")</f>
        <v/>
      </c>
      <c r="C45" s="2">
        <f>HYPERLINK("https://www.linkedin.com/company/century-plyboards-limited", "https://www.linkedin.com/company/century-plyboards-limited")</f>
        <v/>
      </c>
      <c r="D45" t="inlineStr">
        <is>
          <t>India</t>
        </is>
      </c>
      <c r="E45" t="inlineStr">
        <is>
          <t>Business Head - Polymer Products (PVC Composites)</t>
        </is>
      </c>
      <c r="F45" t="inlineStr">
        <is>
          <t>Rajendra Shah</t>
        </is>
      </c>
      <c r="G45" s="2">
        <f>HYPERLINK("https://in.linkedin.com/in/rajendra-shah-57884a19", "https://in.linkedin.com/in/rajendra-shah-57884a19")</f>
        <v/>
      </c>
    </row>
    <row r="46">
      <c r="A46" t="inlineStr">
        <is>
          <t>CENTURYPLY</t>
        </is>
      </c>
      <c r="B46" s="2">
        <f>HYPERLINK("https://www.centuryply.com", "https://www.centuryply.com")</f>
        <v/>
      </c>
      <c r="C46" s="2">
        <f>HYPERLINK("https://www.linkedin.com/company/century-plyboards-limited", "https://www.linkedin.com/company/century-plyboards-limited")</f>
        <v/>
      </c>
      <c r="D46" t="inlineStr">
        <is>
          <t>India</t>
        </is>
      </c>
      <c r="E46" t="inlineStr">
        <is>
          <t>Joint Managing Director</t>
        </is>
      </c>
      <c r="F46" t="inlineStr">
        <is>
          <t>Prem Kumar</t>
        </is>
      </c>
      <c r="G46" s="2">
        <f>HYPERLINK("https://in.linkedin.com/in/prem-kumar-763a9228", "https://in.linkedin.com/in/prem-kumar-763a9228")</f>
        <v/>
      </c>
    </row>
    <row r="47">
      <c r="A47" t="inlineStr">
        <is>
          <t>CENTURYPLY</t>
        </is>
      </c>
      <c r="B47" s="2">
        <f>HYPERLINK("https://www.centuryply.com", "https://www.centuryply.com")</f>
        <v/>
      </c>
      <c r="C47" s="2">
        <f>HYPERLINK("https://www.linkedin.com/company/century-plyboards-limited", "https://www.linkedin.com/company/century-plyboards-limited")</f>
        <v/>
      </c>
      <c r="D47" t="inlineStr">
        <is>
          <t>India</t>
        </is>
      </c>
      <c r="E47" t="inlineStr">
        <is>
          <t>Executive Director</t>
        </is>
      </c>
      <c r="F47" t="inlineStr">
        <is>
          <t>Rajesh Kumar Agarwal</t>
        </is>
      </c>
      <c r="G47" s="2">
        <f>HYPERLINK("https://in.linkedin.com/in/rajesh-kumar-agarwal-00b80254", "https://in.linkedin.com/in/rajesh-kumar-agarwal-00b80254")</f>
        <v/>
      </c>
    </row>
    <row r="48">
      <c r="A48" t="inlineStr">
        <is>
          <t>CENTURYPLY</t>
        </is>
      </c>
      <c r="B48" s="2">
        <f>HYPERLINK("https://www.centuryply.com", "https://www.centuryply.com")</f>
        <v/>
      </c>
      <c r="C48" s="2">
        <f>HYPERLINK("https://www.linkedin.com/company/century-plyboards-limited", "https://www.linkedin.com/company/century-plyboards-limited")</f>
        <v/>
      </c>
      <c r="D48" t="inlineStr">
        <is>
          <t>India</t>
        </is>
      </c>
      <c r="E48" t="inlineStr">
        <is>
          <t>Vice President - Exports</t>
        </is>
      </c>
      <c r="F48" t="inlineStr">
        <is>
          <t>Naveen Lohia</t>
        </is>
      </c>
      <c r="G48" s="2">
        <f>HYPERLINK("https://in.linkedin.com/in/naveen-lohia-10408711", "https://in.linkedin.com/in/naveen-lohia-10408711")</f>
        <v/>
      </c>
    </row>
    <row r="49">
      <c r="A49" t="inlineStr">
        <is>
          <t>CENTURYPLY</t>
        </is>
      </c>
      <c r="B49" s="2">
        <f>HYPERLINK("https://www.centuryply.com", "https://www.centuryply.com")</f>
        <v/>
      </c>
      <c r="C49" s="2">
        <f>HYPERLINK("https://www.linkedin.com/company/century-plyboards-limited", "https://www.linkedin.com/company/century-plyboards-limited")</f>
        <v/>
      </c>
      <c r="D49" t="inlineStr">
        <is>
          <t>India</t>
        </is>
      </c>
      <c r="E49" t="inlineStr">
        <is>
          <t>Chief Operating Officer - Panel &amp; Plyboards</t>
        </is>
      </c>
      <c r="F49" t="inlineStr">
        <is>
          <t>Navarun Sen</t>
        </is>
      </c>
      <c r="G49" s="2">
        <f>HYPERLINK("https://in.linkedin.com/in/navarunsen41", "https://in.linkedin.com/in/navarunsen41")</f>
        <v/>
      </c>
    </row>
    <row r="50">
      <c r="A50" t="inlineStr">
        <is>
          <t>WHEELS</t>
        </is>
      </c>
      <c r="B50" s="2">
        <f>HYPERLINK("https://www.wheelsindia.com", "https://www.wheelsindia.com")</f>
        <v/>
      </c>
      <c r="C50" t="inlineStr">
        <is>
          <t>NOT FOUND</t>
        </is>
      </c>
      <c r="D50" t="inlineStr">
        <is>
          <t>India</t>
        </is>
      </c>
      <c r="E50" t="inlineStr">
        <is>
          <t>VP at Wheels India Limited</t>
        </is>
      </c>
      <c r="F50" t="inlineStr">
        <is>
          <t>Diwakar Balashankar</t>
        </is>
      </c>
      <c r="G50" s="2">
        <f>HYPERLINK("https://in.linkedin.com/in/diwakar-balashankar-6203b2a", "https://in.linkedin.com/in/diwakar-balashankar-6203b2a")</f>
        <v/>
      </c>
    </row>
    <row r="51">
      <c r="A51" t="inlineStr">
        <is>
          <t>WHEELS</t>
        </is>
      </c>
      <c r="B51" s="2">
        <f>HYPERLINK("https://www.wheelsindia.com", "https://www.wheelsindia.com")</f>
        <v/>
      </c>
      <c r="C51" t="inlineStr">
        <is>
          <t>NOT FOUND</t>
        </is>
      </c>
      <c r="D51" t="inlineStr">
        <is>
          <t>India</t>
        </is>
      </c>
      <c r="E51" t="inlineStr">
        <is>
          <t>Vice President - Finance at Wheels India Limited</t>
        </is>
      </c>
      <c r="F51" t="inlineStr">
        <is>
          <t>Venkataramanan V</t>
        </is>
      </c>
      <c r="G51" s="2">
        <f>HYPERLINK("https://in.linkedin.com/in/venkataramanan-v-69280465", "https://in.linkedin.com/in/venkataramanan-v-69280465")</f>
        <v/>
      </c>
    </row>
    <row r="52">
      <c r="A52" t="inlineStr">
        <is>
          <t>WHEELS</t>
        </is>
      </c>
      <c r="B52" s="2">
        <f>HYPERLINK("https://www.wheelsindia.com", "https://www.wheelsindia.com")</f>
        <v/>
      </c>
      <c r="C52" t="inlineStr">
        <is>
          <t>NOT FOUND</t>
        </is>
      </c>
      <c r="D52" t="inlineStr">
        <is>
          <t>India</t>
        </is>
      </c>
      <c r="E52" t="inlineStr">
        <is>
          <t>Senior Vice President (SCM) at Wheels India Ltd</t>
        </is>
      </c>
      <c r="F52" t="inlineStr">
        <is>
          <t>Tab Barathi</t>
        </is>
      </c>
      <c r="G52" s="2">
        <f>HYPERLINK("https://in.linkedin.com/in/tab-barathi-29a88b8b", "https://in.linkedin.com/in/tab-barathi-29a88b8b")</f>
        <v/>
      </c>
    </row>
    <row r="53">
      <c r="A53" t="inlineStr">
        <is>
          <t>WHEELS</t>
        </is>
      </c>
      <c r="B53" s="2">
        <f>HYPERLINK("https://www.wheelsindia.com", "https://www.wheelsindia.com")</f>
        <v/>
      </c>
      <c r="C53" t="inlineStr">
        <is>
          <t>NOT FOUND</t>
        </is>
      </c>
      <c r="D53" t="inlineStr">
        <is>
          <t>India</t>
        </is>
      </c>
      <c r="E53" t="inlineStr">
        <is>
          <t>Vice President (Supply Chain) at Wheels India Limited</t>
        </is>
      </c>
      <c r="F53" t="inlineStr">
        <is>
          <t>Barathi Brahmendra</t>
        </is>
      </c>
      <c r="G53" s="2">
        <f>HYPERLINK("https://in.linkedin.com/in/barathi-brahmendra-150b6939", "https://in.linkedin.com/in/barathi-brahmendra-150b6939")</f>
        <v/>
      </c>
    </row>
    <row r="54">
      <c r="A54" t="inlineStr">
        <is>
          <t>WHEELS</t>
        </is>
      </c>
      <c r="B54" s="2">
        <f>HYPERLINK("https://www.wheelsindia.com", "https://www.wheelsindia.com")</f>
        <v/>
      </c>
      <c r="C54" t="inlineStr">
        <is>
          <t>NOT FOUND</t>
        </is>
      </c>
      <c r="D54" t="inlineStr">
        <is>
          <t>India</t>
        </is>
      </c>
      <c r="E54" t="inlineStr">
        <is>
          <t>General Manager at Wheels India Limited</t>
        </is>
      </c>
      <c r="F54" t="inlineStr">
        <is>
          <t>V. Balakrishnan</t>
        </is>
      </c>
      <c r="G54" s="2">
        <f>HYPERLINK("https://in.linkedin.com/in/v-balakrishnan-14459336", "https://in.linkedin.com/in/v-balakrishnan-14459336")</f>
        <v/>
      </c>
    </row>
    <row r="55">
      <c r="A55" t="inlineStr">
        <is>
          <t>WHEELS</t>
        </is>
      </c>
      <c r="B55" s="2">
        <f>HYPERLINK("https://www.wheelsindia.com", "https://www.wheelsindia.com")</f>
        <v/>
      </c>
      <c r="C55" t="inlineStr">
        <is>
          <t>NOT FOUND</t>
        </is>
      </c>
      <c r="D55" t="inlineStr">
        <is>
          <t>India</t>
        </is>
      </c>
      <c r="E55" t="inlineStr">
        <is>
          <t>Sr. GM (Purchase) at Wheels India Ltd</t>
        </is>
      </c>
      <c r="F55" t="inlineStr">
        <is>
          <t>Ravi Shankar</t>
        </is>
      </c>
      <c r="G55" s="2">
        <f>HYPERLINK("https://in.linkedin.com/in/ravi-shankar-24852165", "https://in.linkedin.com/in/ravi-shankar-24852165")</f>
        <v/>
      </c>
    </row>
    <row r="56">
      <c r="A56" t="inlineStr">
        <is>
          <t>SSWL</t>
        </is>
      </c>
      <c r="B56" s="2">
        <f>HYPERLINK("https://sswlindia.com", "https://sswlindia.com")</f>
        <v/>
      </c>
      <c r="C56" s="2">
        <f>HYPERLINK("https://www.linkedin.com/company/steel-strips-wheels-limited", "https://www.linkedin.com/company/steel-strips-wheels-limited")</f>
        <v/>
      </c>
      <c r="D56" t="inlineStr">
        <is>
          <t>India</t>
        </is>
      </c>
      <c r="E56" t="inlineStr">
        <is>
          <t>Deputy Managing Director, Steel Strips Wheels Limited</t>
        </is>
      </c>
      <c r="F56" t="inlineStr">
        <is>
          <t>Mohan Joshi</t>
        </is>
      </c>
      <c r="G56" s="2">
        <f>HYPERLINK("https://in.linkedin.com/in/mohan-joshi-44290a218", "https://in.linkedin.com/in/mohan-joshi-44290a218")</f>
        <v/>
      </c>
    </row>
    <row r="57">
      <c r="A57" t="inlineStr">
        <is>
          <t>SSWL</t>
        </is>
      </c>
      <c r="B57" s="2">
        <f>HYPERLINK("https://sswlindia.com", "https://sswlindia.com")</f>
        <v/>
      </c>
      <c r="C57" s="2">
        <f>HYPERLINK("https://www.linkedin.com/company/steel-strips-wheels-limited", "https://www.linkedin.com/company/steel-strips-wheels-limited")</f>
        <v/>
      </c>
      <c r="D57" t="inlineStr">
        <is>
          <t>India</t>
        </is>
      </c>
      <c r="E57" t="inlineStr">
        <is>
          <t>Managing Director, Steel Strips Wheels Limited</t>
        </is>
      </c>
      <c r="F57" t="inlineStr">
        <is>
          <t>Dheeraj Garg</t>
        </is>
      </c>
      <c r="G57" s="2">
        <f>HYPERLINK("https://in.linkedin.com/in/dheeraj-garg-a7aa3797", "https://in.linkedin.com/in/dheeraj-garg-a7aa3797")</f>
        <v/>
      </c>
    </row>
    <row r="58">
      <c r="A58" t="inlineStr">
        <is>
          <t>SSWL</t>
        </is>
      </c>
      <c r="B58" s="2">
        <f>HYPERLINK("https://sswlindia.com", "https://sswlindia.com")</f>
        <v/>
      </c>
      <c r="C58" s="2">
        <f>HYPERLINK("https://www.linkedin.com/company/steel-strips-wheels-limited", "https://www.linkedin.com/company/steel-strips-wheels-limited")</f>
        <v/>
      </c>
      <c r="D58" t="inlineStr">
        <is>
          <t>India</t>
        </is>
      </c>
      <c r="E58" t="inlineStr">
        <is>
          <t>Vice President - Finance &amp; Accounts, Steel Strips Wheels Limited</t>
        </is>
      </c>
      <c r="F58" t="inlineStr">
        <is>
          <t>Sanjay Singh</t>
        </is>
      </c>
      <c r="G58" s="2">
        <f>HYPERLINK("https://in.linkedin.com/in/sanjay-singh-3459a562", "https://in.linkedin.com/in/sanjay-singh-3459a562")</f>
        <v/>
      </c>
    </row>
    <row r="59">
      <c r="A59" t="inlineStr">
        <is>
          <t>SSWL</t>
        </is>
      </c>
      <c r="B59" s="2">
        <f>HYPERLINK("https://sswlindia.com", "https://sswlindia.com")</f>
        <v/>
      </c>
      <c r="C59" s="2">
        <f>HYPERLINK("https://www.linkedin.com/company/steel-strips-wheels-limited", "https://www.linkedin.com/company/steel-strips-wheels-limited")</f>
        <v/>
      </c>
      <c r="D59" t="inlineStr">
        <is>
          <t>India</t>
        </is>
      </c>
      <c r="E59" t="inlineStr">
        <is>
          <t>Company Secretary, SSWL Group</t>
        </is>
      </c>
      <c r="F59" t="inlineStr">
        <is>
          <t>Nishtha Chauhan</t>
        </is>
      </c>
      <c r="G59" s="2">
        <f>HYPERLINK("https://in.linkedin.com/in/nishtha-chauhan-4896631b4", "https://in.linkedin.com/in/nishtha-chauhan-4896631b4")</f>
        <v/>
      </c>
    </row>
    <row r="60">
      <c r="A60" t="inlineStr">
        <is>
          <t>SSWL</t>
        </is>
      </c>
      <c r="B60" s="2">
        <f>HYPERLINK("https://sswlindia.com", "https://sswlindia.com")</f>
        <v/>
      </c>
      <c r="C60" s="2">
        <f>HYPERLINK("https://www.linkedin.com/company/steel-strips-wheels-limited", "https://www.linkedin.com/company/steel-strips-wheels-limited")</f>
        <v/>
      </c>
      <c r="D60" t="inlineStr">
        <is>
          <t>India</t>
        </is>
      </c>
      <c r="E60" t="inlineStr">
        <is>
          <t>Sr. Executive Director, Steel Strips Wheels Limited</t>
        </is>
      </c>
      <c r="F60" t="inlineStr">
        <is>
          <t>Rajesh Trikha</t>
        </is>
      </c>
      <c r="G60" s="2">
        <f>HYPERLINK("https://in.linkedin.com/in/rajesh-trikha-a16324269", "https://in.linkedin.com/in/rajesh-trikha-a16324269")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2026-08-04T05:51:37Z</dcterms:created>
  <dcterms:modified xmlns:dcterms="http://purl.org/dc/terms/" xmlns:xsi="http://www.w3.org/2001/XMLSchema-instance" xsi:type="dcterms:W3CDTF">2026-08-04T05:51:37Z</dcterms:modified>
</cp:coreProperties>
</file>