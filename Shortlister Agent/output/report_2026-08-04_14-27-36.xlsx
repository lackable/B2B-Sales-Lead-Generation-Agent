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0563C1"/>
      <u val="single"/>
    </font>
    <font>
      <b val="1"/>
      <color rgb="000F5132"/>
    </font>
    <font>
      <b val="1"/>
      <color rgb="00842029"/>
    </font>
  </fonts>
  <fills count="5">
    <fill>
      <patternFill/>
    </fill>
    <fill>
      <patternFill patternType="gray125"/>
    </fill>
    <fill>
      <patternFill patternType="solid">
        <fgColor rgb="001F2937"/>
        <bgColor rgb="001F2937"/>
      </patternFill>
    </fill>
    <fill>
      <patternFill patternType="solid">
        <fgColor rgb="00D1E7DD"/>
        <bgColor rgb="00D1E7DD"/>
      </patternFill>
    </fill>
    <fill>
      <patternFill patternType="solid">
        <fgColor rgb="00F8D7DA"/>
        <bgColor rgb="00F8D7D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xf numFmtId="0" fontId="4"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36" customWidth="1" min="1" max="1"/>
    <col width="17" customWidth="1" min="2" max="2"/>
    <col width="30"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Astral Limited</t>
        </is>
      </c>
      <c r="B2" t="inlineStr">
        <is>
          <t>BSE:ASTRAL</t>
        </is>
      </c>
      <c r="C2" t="inlineStr">
        <is>
          <t>Miscellaneous Manufacturing</t>
        </is>
      </c>
      <c r="D2" t="n">
        <v>65686000000</v>
      </c>
      <c r="E2" t="n">
        <v>5366000000</v>
      </c>
      <c r="F2" t="n">
        <v>4899</v>
      </c>
      <c r="G2" t="inlineStr">
        <is>
          <t>Astral Limited engages in the manufacture and marketing of pipes and fittings, water tanks, and adhesives and sealants in India and internationally. It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specialised, industrial adhesives, and epoxy putty; specialized valves, such as compact true, single union, and industrial ball valves; construction chemicals comprising bathroom and basement waterproofing, tile adhesives and grouts, exterior roof and wall coatings, polymers and integral compounds, and repair products; and infrastructure products comprising drainage, cable protection, and PT duct systems; and specialised fittings, such as electrofusion, compression, PPR fittings, integrated and mechanica clamp, integrated composite strap-on saddles, PVC conduit for concealed wiring system, and investment castings. The company was formerly known as Astral Poly Technik Limited and changed its name to Astral Limited in April 2021. Astral Limited was incorporated in 1996 and is headquartered in Ahmedabad, India.</t>
        </is>
      </c>
      <c r="H2" s="2">
        <f>HYPERLINK("https://astralltd.com", "https://astralltd.com")</f>
        <v/>
      </c>
      <c r="I2" s="2">
        <f>HYPERLINK("https://www.linkedin.com/company/astralpipesofficial", "https://www.linkedin.com/company/astralpipesofficial")</f>
        <v/>
      </c>
      <c r="J2" s="3" t="inlineStr">
        <is>
          <t>Verified</t>
        </is>
      </c>
    </row>
    <row r="3">
      <c r="A3" t="inlineStr">
        <is>
          <t>V-Guard Industries Limited</t>
        </is>
      </c>
      <c r="B3" t="inlineStr">
        <is>
          <t>NSE:VGUARD</t>
        </is>
      </c>
      <c r="C3" t="inlineStr">
        <is>
          <t>Electrical Products</t>
        </is>
      </c>
      <c r="D3" t="n">
        <v>63103500000</v>
      </c>
      <c r="E3" t="n">
        <v>3647300000</v>
      </c>
      <c r="F3" t="n">
        <v>3219</v>
      </c>
      <c r="G3" t="inlineStr">
        <is>
          <t>V-Guard Industries Limited manufactures and sells electrical and electronic products in India and internationally. It operates through four segments: Electronics, Electrical, Consumer Durables and Sunflame. The Electronics segment offers voltage stabilizers; and inverter, digital DUPS, inverter batteries, UPS, solar inverters, solar power systems, off grid and on grid systems and inverters, and on grid photovoltaic (PV) inverters. The Electrical segment provides wires; pumps, such as domestic and agricultural pumps, and electric motors; modular switches, including matteo, novio, and torio switches; switchgears; and PVC insulated cables. The Consumer Durables Segment offers fans, such as ceiling, table, pedestal, wall, ventilating and exhaust, and other fans; air coolers, including desert, window-mounted, and personal and room variants; water heaters, such as electric, solar and heat pump water heaters; and kitchen appliances comprising induction cooktop, mixer grinders, gas cooktops, rice cookers, water purifiers, small and large appliances like kitchen hoods, and breakfast appliances. The Sunflame segment sells products under Sunflame and Superflame brands. It sells its products through a network of distributors and dealers. V-Guard Industries Limited was founded in 1977 and is headquartered in Kochi, India.</t>
        </is>
      </c>
      <c r="H3" s="2">
        <f>HYPERLINK("https://www.vguard.in", "https://www.vguard.in")</f>
        <v/>
      </c>
      <c r="I3" s="2">
        <f>HYPERLINK("https://www.linkedin.com/company/v-guard", "https://www.linkedin.com/company/v-guard")</f>
        <v/>
      </c>
      <c r="J3" s="3" t="inlineStr">
        <is>
          <t>Verified</t>
        </is>
      </c>
    </row>
    <row r="4">
      <c r="A4" t="inlineStr">
        <is>
          <t>Sundram Fasteners Limited</t>
        </is>
      </c>
      <c r="B4" t="inlineStr">
        <is>
          <t>NSE:SUNDRMFAST</t>
        </is>
      </c>
      <c r="C4" t="inlineStr">
        <is>
          <t>Auto Parts: OEM</t>
        </is>
      </c>
      <c r="D4" t="n">
        <v>62888200000</v>
      </c>
      <c r="E4" t="n">
        <v>5911900000</v>
      </c>
      <c r="F4" t="n">
        <v>3108</v>
      </c>
      <c r="G4" t="inlineStr">
        <is>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spokes and nipples, automobile kits, tools, dowel pins, small screws, cold extruded parts and other parts; and engages in information technology business providing enterprise solutions for core industries like manufacturing, automotive and distribution. Sundram Fasteners Limited was incorporated in 1962 and is headquartered in Chennai, India.</t>
        </is>
      </c>
      <c r="H4" s="2">
        <f>HYPERLINK("https://www.sundram.com", "https://www.sundram.com")</f>
        <v/>
      </c>
      <c r="I4" t="inlineStr">
        <is>
          <t>NOT FOUND</t>
        </is>
      </c>
      <c r="J4" s="3" t="inlineStr">
        <is>
          <t>Verified</t>
        </is>
      </c>
    </row>
    <row r="5">
      <c r="A5" t="inlineStr">
        <is>
          <t>JBM Auto Limited</t>
        </is>
      </c>
      <c r="B5" t="inlineStr">
        <is>
          <t>NSE:JBMA</t>
        </is>
      </c>
      <c r="C5" t="inlineStr">
        <is>
          <t>Auto Parts: OEM</t>
        </is>
      </c>
      <c r="D5" t="n">
        <v>62769400000</v>
      </c>
      <c r="E5" t="n">
        <v>2241800000</v>
      </c>
      <c r="F5" t="inlineStr"/>
      <c r="G5" t="inlineStr">
        <is>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is>
      </c>
      <c r="H5" s="2">
        <f>HYPERLINK("https://www.jbmgroup.com", "https://www.jbmgroup.com")</f>
        <v/>
      </c>
      <c r="I5" s="2">
        <f>HYPERLINK("https://www.linkedin.com/company/jbm-group", "https://www.linkedin.com/company/jbm-group")</f>
        <v/>
      </c>
      <c r="J5" s="3" t="inlineStr">
        <is>
          <t>Verified</t>
        </is>
      </c>
    </row>
    <row r="6">
      <c r="A6" t="inlineStr">
        <is>
          <t>Minda Corporation Limited</t>
        </is>
      </c>
      <c r="B6" t="inlineStr">
        <is>
          <t>BSE:MINDACORP</t>
        </is>
      </c>
      <c r="C6" t="inlineStr">
        <is>
          <t>Auto Parts: OEM</t>
        </is>
      </c>
      <c r="D6" t="n">
        <v>61853400000</v>
      </c>
      <c r="E6" t="n">
        <v>3602600000</v>
      </c>
      <c r="F6" t="n">
        <v>3405</v>
      </c>
      <c r="G6" t="inlineStr">
        <is>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is>
      </c>
      <c r="H6" s="2">
        <f>HYPERLINK("https://sparkminda.com", "https://sparkminda.com")</f>
        <v/>
      </c>
      <c r="I6" s="2">
        <f>HYPERLINK("https://www.linkedin.com/company/sparkminda", "https://www.linkedin.com/company/sparkminda")</f>
        <v/>
      </c>
      <c r="J6" s="3" t="inlineStr">
        <is>
          <t>Verified</t>
        </is>
      </c>
    </row>
    <row r="7">
      <c r="A7" t="inlineStr">
        <is>
          <t>Ram Ratna Wires Limited</t>
        </is>
      </c>
      <c r="B7" t="inlineStr">
        <is>
          <t>NSE:RAMRAT</t>
        </is>
      </c>
      <c r="C7" t="inlineStr">
        <is>
          <t>Electrical Products</t>
        </is>
      </c>
      <c r="D7" t="n">
        <v>60474618000</v>
      </c>
      <c r="E7" t="n">
        <v>1268083000</v>
      </c>
      <c r="F7" t="n">
        <v>1288</v>
      </c>
      <c r="G7" t="inlineStr">
        <is>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is>
      </c>
      <c r="H7" s="2">
        <f>HYPERLINK("https://www.rrshramik.com", "https://www.rrshramik.com")</f>
        <v/>
      </c>
      <c r="I7" s="2">
        <f>HYPERLINK("https://www.linkedin.com/company/rrglobal", "https://www.linkedin.com/company/rrglobal")</f>
        <v/>
      </c>
      <c r="J7" s="4" t="inlineStr">
        <is>
          <t>Non-Verified</t>
        </is>
      </c>
    </row>
    <row r="8">
      <c r="A8" t="inlineStr">
        <is>
          <t>Rane Holdings Limited</t>
        </is>
      </c>
      <c r="B8" t="inlineStr">
        <is>
          <t>NSE:RANEHOLDIN</t>
        </is>
      </c>
      <c r="C8" t="inlineStr">
        <is>
          <t>Auto Parts: OEM</t>
        </is>
      </c>
      <c r="D8" t="n">
        <v>58833100000</v>
      </c>
      <c r="E8" t="n">
        <v>978700000</v>
      </c>
      <c r="F8" t="n">
        <v>130</v>
      </c>
      <c r="G8" t="inlineStr">
        <is>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is>
      </c>
      <c r="H8" s="2">
        <f>HYPERLINK("https://www.ranegroup.com", "https://www.ranegroup.com")</f>
        <v/>
      </c>
      <c r="I8" s="2">
        <f>HYPERLINK("https://www.linkedin.com/company/rane-holdings-limited", "https://www.linkedin.com/company/rane-holdings-limited")</f>
        <v/>
      </c>
      <c r="J8" s="3" t="inlineStr">
        <is>
          <t>Verified</t>
        </is>
      </c>
    </row>
    <row r="9">
      <c r="A9" t="inlineStr">
        <is>
          <t>Century Plyboards (India) Limited</t>
        </is>
      </c>
      <c r="B9" t="inlineStr">
        <is>
          <t>BSE:CENTURYPLY</t>
        </is>
      </c>
      <c r="C9" t="inlineStr">
        <is>
          <t>Building Products</t>
        </is>
      </c>
      <c r="D9" t="n">
        <v>57892045000</v>
      </c>
      <c r="E9" t="n">
        <v>2911405000</v>
      </c>
      <c r="F9" t="inlineStr"/>
      <c r="G9"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is>
      </c>
      <c r="H9" s="2">
        <f>HYPERLINK("https://www.centuryply.com", "https://www.centuryply.com")</f>
        <v/>
      </c>
      <c r="I9" s="2">
        <f>HYPERLINK("https://www.linkedin.com/company/century-plyboards-limited", "https://www.linkedin.com/company/century-plyboards-limited")</f>
        <v/>
      </c>
      <c r="J9" s="3" t="inlineStr">
        <is>
          <t>Verified</t>
        </is>
      </c>
    </row>
    <row r="10">
      <c r="A10" t="inlineStr">
        <is>
          <t>Wheels India Limited</t>
        </is>
      </c>
      <c r="B10" t="inlineStr">
        <is>
          <t>BSE:WHEELS</t>
        </is>
      </c>
      <c r="C10" t="inlineStr">
        <is>
          <t>Auto Parts: OEM</t>
        </is>
      </c>
      <c r="D10" t="n">
        <v>56904400000</v>
      </c>
      <c r="E10" t="n">
        <v>1634600000</v>
      </c>
      <c r="F10" t="n">
        <v>2735</v>
      </c>
      <c r="G10" t="inlineStr">
        <is>
          <t>Wheels India Limited, together with its subsidiary, manufactures and sells automotive and industrial components in India and internationally. The company provides steel, cast aluminum, forged aluminum, and wire wheel for use in passenger and light cargo vehicles, trucks, trailers, buses, agriculture and farm equipment, off-road vehicles, and defense vehicles; vehicle chassis and suspensions; wind turbines; fabricated and precision products for construction, mining vehicle, and other equipment; hydraulic cylinders for energy equipment and off-road vehicles; and railway products, such as bogie frames and bolsters. It also offers components and structures for windmill, railways, and thermal power plants. The company was incorporated in 1960 and is headquartered in Chennai, India.</t>
        </is>
      </c>
      <c r="H10" s="2">
        <f>HYPERLINK("https://www.wheelsindia.com", "https://www.wheelsindia.com")</f>
        <v/>
      </c>
      <c r="I10" s="2">
        <f>HYPERLINK("https://www.linkedin.com/company/wheelsindialimited", "https://www.linkedin.com/company/wheelsindialimited")</f>
        <v/>
      </c>
      <c r="J10" s="3" t="inlineStr">
        <is>
          <t>Verified</t>
        </is>
      </c>
    </row>
    <row r="11">
      <c r="A11" t="inlineStr">
        <is>
          <t>Steel Strips Wheels Limited</t>
        </is>
      </c>
      <c r="B11" t="inlineStr">
        <is>
          <t>BSE:SSWL</t>
        </is>
      </c>
      <c r="C11" t="inlineStr">
        <is>
          <t>Auto Parts: OEM</t>
        </is>
      </c>
      <c r="D11" t="n">
        <v>55058362000</v>
      </c>
      <c r="E11" t="n">
        <v>2124273000</v>
      </c>
      <c r="F11" t="inlineStr"/>
      <c r="G11" t="inlineStr">
        <is>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is>
      </c>
      <c r="H11" s="2">
        <f>HYPERLINK("https://sswlindia.com", "https://sswlindia.com")</f>
        <v/>
      </c>
      <c r="I11" s="2">
        <f>HYPERLINK("https://www.linkedin.com/company/steel-strips-wheels-limited", "https://www.linkedin.com/company/steel-strips-wheels-limited")</f>
        <v/>
      </c>
      <c r="J11"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2026-08-04T08:57:36Z</dcterms:created>
  <dcterms:modified xmlns:dcterms="http://purl.org/dc/terms/" xmlns:xsi="http://www.w3.org/2001/XMLSchema-instance" xsi:type="dcterms:W3CDTF">2026-08-04T08:57:36Z</dcterms:modified>
</cp:coreProperties>
</file>