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20"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Astral Limited</t>
        </is>
      </c>
      <c r="B2" t="inlineStr">
        <is>
          <t>NSE:ASTRAL</t>
        </is>
      </c>
      <c r="C2" t="inlineStr">
        <is>
          <t>Miscellaneous Manufacturing</t>
        </is>
      </c>
      <c r="D2" t="n">
        <v>65686000000</v>
      </c>
      <c r="E2" t="n">
        <v>5366000000</v>
      </c>
      <c r="F2" t="n">
        <v>4899</v>
      </c>
      <c r="G2" t="inlineStr">
        <is>
          <t>Ahmedabad, India</t>
        </is>
      </c>
      <c r="H2" t="inlineStr">
        <is>
          <t>Astral Limited engages in the manufacture and marketing of pipes and fittings, water tanks, and adhesives and sealants in India and internationally. It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specialised, industrial adhesives, and epoxy putty; specialized valves, such as compact true, single union, and industrial ball valves; construction chemicals comprising bathroom and basement waterproofing, tile adhesives and grouts, exterior roof and wall coatings, polymers and integral compounds, and repair products; and infrastructure products comprising drainage, cable protection, and PT duct systems; and specialised fittings, such as electrofusion, compression, PPR fittings, integrated and mechanica clamp, integrated composite strap-on saddles, PVC conduit for concealed wiring system, and investment castings. The company was formerly known as Astral Poly Technik Limited and changed its name to Astral Limited in April 2021. Astral Limited was incorporated in 1996 and is headquartered in Ahmedabad, India.</t>
        </is>
      </c>
      <c r="I2" s="2">
        <f>HYPERLINK("https://astralltd.com", "https://astralltd.com")</f>
        <v/>
      </c>
      <c r="J2" s="2">
        <f>HYPERLINK("https://www.linkedin.com/company/astralpipesofficial", "https://www.linkedin.com/company/astralpipesofficial")</f>
        <v/>
      </c>
      <c r="K2" s="3" t="inlineStr">
        <is>
          <t>Verified</t>
        </is>
      </c>
    </row>
    <row r="3">
      <c r="A3" t="inlineStr">
        <is>
          <t>V-Guard Industries Limited</t>
        </is>
      </c>
      <c r="B3" t="inlineStr">
        <is>
          <t>NSE:VGUARD</t>
        </is>
      </c>
      <c r="C3" t="inlineStr">
        <is>
          <t>Electrical Products</t>
        </is>
      </c>
      <c r="D3" t="n">
        <v>63103500000</v>
      </c>
      <c r="E3" t="n">
        <v>3647300000</v>
      </c>
      <c r="F3" t="n">
        <v>3219</v>
      </c>
      <c r="G3" t="inlineStr">
        <is>
          <t>Kochi, India</t>
        </is>
      </c>
      <c r="H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I3" s="2">
        <f>HYPERLINK("https://www.vguard.in", "https://www.vguard.in")</f>
        <v/>
      </c>
      <c r="J3" s="2">
        <f>HYPERLINK("https://www.linkedin.com/company/v-guard", "https://www.linkedin.com/company/v-guard")</f>
        <v/>
      </c>
      <c r="K3" s="3" t="inlineStr">
        <is>
          <t>Verified</t>
        </is>
      </c>
    </row>
    <row r="4">
      <c r="A4" t="inlineStr">
        <is>
          <t>Sundram Fasteners Limited</t>
        </is>
      </c>
      <c r="B4" t="inlineStr">
        <is>
          <t>BSE:SUNDRMFAST</t>
        </is>
      </c>
      <c r="C4" t="inlineStr">
        <is>
          <t>Auto Parts: OEM</t>
        </is>
      </c>
      <c r="D4" t="n">
        <v>62888200000</v>
      </c>
      <c r="E4" t="n">
        <v>5911900000</v>
      </c>
      <c r="F4" t="n">
        <v>3185</v>
      </c>
      <c r="G4" t="inlineStr">
        <is>
          <t>Chennai, India</t>
        </is>
      </c>
      <c r="H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bearing housings, spokes and nipples, automobile kits, dowels and rollers, small screws, and tools, as well as precision forged components for use in heavy vehicles for on-highway and off-highway applications; and provides financial and software services. Sundram Fasteners Limited was incorporated in 1962 and is headquartered in Chennai, India.</t>
        </is>
      </c>
      <c r="I4" s="2">
        <f>HYPERLINK("https://www.sundram.com", "https://www.sundram.com")</f>
        <v/>
      </c>
      <c r="J4" s="2">
        <f>HYPERLINK("https://www.linkedin.com/company/sundram-fasteners", "https://www.linkedin.com/company/sundram-fasteners")</f>
        <v/>
      </c>
      <c r="K4" s="3" t="inlineStr">
        <is>
          <t>Verified</t>
        </is>
      </c>
    </row>
    <row r="5">
      <c r="A5" t="inlineStr">
        <is>
          <t>JBM Auto Limited</t>
        </is>
      </c>
      <c r="B5" t="inlineStr">
        <is>
          <t>BSE:JBMA</t>
        </is>
      </c>
      <c r="C5" t="inlineStr">
        <is>
          <t>Auto Parts: OEM</t>
        </is>
      </c>
      <c r="D5" t="n">
        <v>62769400000</v>
      </c>
      <c r="E5" t="n">
        <v>2241800000</v>
      </c>
      <c r="F5" t="n">
        <v>3555</v>
      </c>
      <c r="G5" t="inlineStr">
        <is>
          <t>Gurugram, India</t>
        </is>
      </c>
      <c r="H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I5" s="2">
        <f>HYPERLINK("https://www.jbmgroup.com", "https://www.jbmgroup.com")</f>
        <v/>
      </c>
      <c r="J5" s="2">
        <f>HYPERLINK("https://www.linkedin.com/company/jbm-group", "https://www.linkedin.com/company/jbm-group")</f>
        <v/>
      </c>
      <c r="K5" s="3" t="inlineStr">
        <is>
          <t>Verified</t>
        </is>
      </c>
    </row>
    <row r="6">
      <c r="A6" t="inlineStr">
        <is>
          <t>Minda Corporation Limited</t>
        </is>
      </c>
      <c r="B6" t="inlineStr">
        <is>
          <t>NSE:MINDACORP</t>
        </is>
      </c>
      <c r="C6" t="inlineStr">
        <is>
          <t>Auto Parts: OEM</t>
        </is>
      </c>
      <c r="D6" t="n">
        <v>61853400000</v>
      </c>
      <c r="E6" t="n">
        <v>3602600000</v>
      </c>
      <c r="F6" t="n">
        <v>3405</v>
      </c>
      <c r="G6" t="inlineStr">
        <is>
          <t>Noida, India</t>
        </is>
      </c>
      <c r="H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I6" s="2">
        <f>HYPERLINK("https://sparkminda.com", "https://sparkminda.com")</f>
        <v/>
      </c>
      <c r="J6" s="2">
        <f>HYPERLINK("https://www.linkedin.com/company/sparkminda", "https://www.linkedin.com/company/sparkminda")</f>
        <v/>
      </c>
      <c r="K6" s="3" t="inlineStr">
        <is>
          <t>Verified</t>
        </is>
      </c>
    </row>
    <row r="7">
      <c r="A7" t="inlineStr">
        <is>
          <t>Ram Ratna Wires Limited</t>
        </is>
      </c>
      <c r="B7" t="inlineStr">
        <is>
          <t>BSE:RAMRAT</t>
        </is>
      </c>
      <c r="C7" t="inlineStr">
        <is>
          <t>Electrical Products</t>
        </is>
      </c>
      <c r="D7" t="n">
        <v>60474618000</v>
      </c>
      <c r="E7" t="n">
        <v>1268083000</v>
      </c>
      <c r="F7" t="n">
        <v>1288</v>
      </c>
      <c r="G7" t="inlineStr">
        <is>
          <t>Mumbai, India</t>
        </is>
      </c>
      <c r="H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I7" s="2">
        <f>HYPERLINK("https://www.rrshramik.com", "https://www.rrshramik.com")</f>
        <v/>
      </c>
      <c r="J7" s="2">
        <f>HYPERLINK("https://www.linkedin.com/company/rr-sharamik", "https://www.linkedin.com/company/rr-sharamik")</f>
        <v/>
      </c>
      <c r="K7" s="3" t="inlineStr">
        <is>
          <t>Verified</t>
        </is>
      </c>
    </row>
    <row r="8">
      <c r="A8" t="inlineStr">
        <is>
          <t>Rane Holdings Limited</t>
        </is>
      </c>
      <c r="B8" t="inlineStr">
        <is>
          <t>BSE:RANEHOLDIN</t>
        </is>
      </c>
      <c r="C8" t="inlineStr">
        <is>
          <t>Auto Parts: OEM</t>
        </is>
      </c>
      <c r="D8" t="n">
        <v>58833100000</v>
      </c>
      <c r="E8" t="n">
        <v>978700000</v>
      </c>
      <c r="F8" t="n">
        <v>130</v>
      </c>
      <c r="G8" t="inlineStr">
        <is>
          <t>Chennai, India</t>
        </is>
      </c>
      <c r="H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I8" s="2">
        <f>HYPERLINK("https://www.ranegroup.com", "https://www.ranegroup.com")</f>
        <v/>
      </c>
      <c r="J8" s="2">
        <f>HYPERLINK("https://www.linkedin.com/company/rane-holdings-limited", "https://www.linkedin.com/company/rane-holdings-limited")</f>
        <v/>
      </c>
      <c r="K8" s="3" t="inlineStr">
        <is>
          <t>Verified</t>
        </is>
      </c>
    </row>
    <row r="9">
      <c r="A9" t="inlineStr">
        <is>
          <t>Century Plyboards (India) Limited</t>
        </is>
      </c>
      <c r="B9" t="inlineStr">
        <is>
          <t>BSE:CENTURYPLY</t>
        </is>
      </c>
      <c r="C9" t="inlineStr">
        <is>
          <t>Building Products</t>
        </is>
      </c>
      <c r="D9" t="n">
        <v>57892045000</v>
      </c>
      <c r="E9" t="n">
        <v>2911405000</v>
      </c>
      <c r="F9" t="inlineStr"/>
      <c r="G9" t="inlineStr">
        <is>
          <t>Kolkata, India</t>
        </is>
      </c>
      <c r="H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I9" s="2">
        <f>HYPERLINK("https://www.centuryply.com", "https://www.centuryply.com")</f>
        <v/>
      </c>
      <c r="J9" s="2">
        <f>HYPERLINK("https://www.linkedin.com/company/century-plyboards-limited", "https://www.linkedin.com/company/century-plyboards-limited")</f>
        <v/>
      </c>
      <c r="K9" s="3" t="inlineStr">
        <is>
          <t>Verified</t>
        </is>
      </c>
    </row>
    <row r="10">
      <c r="A10" t="inlineStr">
        <is>
          <t>Wheels India Limited</t>
        </is>
      </c>
      <c r="B10" t="inlineStr">
        <is>
          <t>BSE:WHEELS</t>
        </is>
      </c>
      <c r="C10" t="inlineStr">
        <is>
          <t>Auto Parts: OEM</t>
        </is>
      </c>
      <c r="D10" t="n">
        <v>56904400000</v>
      </c>
      <c r="E10" t="n">
        <v>1634600000</v>
      </c>
      <c r="F10" t="n">
        <v>2735</v>
      </c>
      <c r="G10" t="inlineStr">
        <is>
          <t>Chennai, India</t>
        </is>
      </c>
      <c r="H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I10" s="2">
        <f>HYPERLINK("https://www.wheelsindia.com", "https://www.wheelsindia.com")</f>
        <v/>
      </c>
      <c r="J10" s="2">
        <f>HYPERLINK("https://www.linkedin.com/company/wheelsindialimited", "https://www.linkedin.com/company/wheelsindialimited")</f>
        <v/>
      </c>
      <c r="K10" s="3" t="inlineStr">
        <is>
          <t>Verified</t>
        </is>
      </c>
    </row>
    <row r="11">
      <c r="A11" t="inlineStr">
        <is>
          <t>Steel Strips Wheels Limited</t>
        </is>
      </c>
      <c r="B11" t="inlineStr">
        <is>
          <t>BSE:SSWL</t>
        </is>
      </c>
      <c r="C11" t="inlineStr">
        <is>
          <t>Auto Parts: OEM</t>
        </is>
      </c>
      <c r="D11" t="n">
        <v>55058362000</v>
      </c>
      <c r="E11" t="n">
        <v>2124273000</v>
      </c>
      <c r="F11" t="inlineStr"/>
      <c r="G11" t="inlineStr">
        <is>
          <t>Chandigarh, India</t>
        </is>
      </c>
      <c r="H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I11" s="2">
        <f>HYPERLINK("https://sswlindia.com", "https://sswlindia.com")</f>
        <v/>
      </c>
      <c r="J11" s="2">
        <f>HYPERLINK("https://www.linkedin.com/company/steel-strips-wheels-limited", "https://www.linkedin.com/company/steel-strips-wheels-limited")</f>
        <v/>
      </c>
      <c r="K11" s="3" t="inlineStr">
        <is>
          <t>Verified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2026-08-05T10:11:19Z</dcterms:created>
  <dcterms:modified xmlns:dcterms="http://purl.org/dc/terms/" xmlns:xsi="http://www.w3.org/2001/XMLSchema-instance" xsi:type="dcterms:W3CDTF">2026-08-05T10:11:19Z</dcterms:modified>
</cp:coreProperties>
</file>