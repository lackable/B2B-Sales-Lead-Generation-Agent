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 Limited</t>
        </is>
      </c>
      <c r="B2" t="inlineStr">
        <is>
          <t>BSE:ASTRAL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 Industries Limited</t>
        </is>
      </c>
      <c r="B3" t="inlineStr">
        <is>
          <t>BSE:VGUARD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Sundram Fasteners Limited</t>
        </is>
      </c>
      <c r="B4" t="inlineStr">
        <is>
          <t>BSE:SUNDRMFAST</t>
        </is>
      </c>
      <c r="C4" t="inlineStr">
        <is>
          <t>Auto Parts: OEM</t>
        </is>
      </c>
      <c r="D4" t="n">
        <v>62888200000</v>
      </c>
      <c r="E4" t="n">
        <v>5911900000</v>
      </c>
      <c r="F4" t="n">
        <v>3185</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 Auto Limited</t>
        </is>
      </c>
      <c r="B5" t="inlineStr">
        <is>
          <t>BSE:JBMA</t>
        </is>
      </c>
      <c r="C5" t="inlineStr">
        <is>
          <t>Auto Parts: OEM</t>
        </is>
      </c>
      <c r="D5" t="n">
        <v>62769400000</v>
      </c>
      <c r="E5" t="n">
        <v>2241800000</v>
      </c>
      <c r="F5" t="n">
        <v>3555</v>
      </c>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 Corporation Limited</t>
        </is>
      </c>
      <c r="B6" t="inlineStr">
        <is>
          <t>NSE:MINDACORP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 Ratna Wires Limited</t>
        </is>
      </c>
      <c r="B7" t="inlineStr">
        <is>
          <t>NSE:RAMRAT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HYPERLINK("https://www.linkedin.com/company/rrglobal", "https://www.linkedin.com/company/rrglobal")</f>
        <v/>
      </c>
      <c r="J7" s="3" t="inlineStr">
        <is>
          <t>Verified</t>
        </is>
      </c>
    </row>
    <row r="8">
      <c r="A8" t="inlineStr">
        <is>
          <t>Rane Holdings Limited</t>
        </is>
      </c>
      <c r="B8" t="inlineStr">
        <is>
          <t>BSE:RANEHOLDIN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 Plyboards (India) Limited</t>
        </is>
      </c>
      <c r="B9" t="inlineStr">
        <is>
          <t>BSE:CENTURYPLY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 India Limited</t>
        </is>
      </c>
      <c r="B10" t="inlineStr">
        <is>
          <t>BSE:WHEELS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s="2">
        <f>HYPERLINK("https://www.linkedin.com/company/wheelsindialimited", "https://www.linkedin.com/company/wheelsindialimited")</f>
        <v/>
      </c>
      <c r="J10" s="3" t="inlineStr">
        <is>
          <t>Verified</t>
        </is>
      </c>
    </row>
    <row r="11">
      <c r="A11" t="inlineStr">
        <is>
          <t>Steel Strips Wheels Limited</t>
        </is>
      </c>
      <c r="B11" t="inlineStr">
        <is>
          <t>BSE:SSWL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36" customWidth="1" min="1" max="1"/>
    <col width="18" customWidth="1" min="2" max="2"/>
    <col width="19" customWidth="1" min="3" max="3"/>
    <col width="12" customWidth="1" min="4" max="4"/>
    <col width="60" customWidth="1" min="5" max="5"/>
    <col width="30"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Astral Limited</t>
        </is>
      </c>
      <c r="B2" s="2">
        <f>HYPERLINK("https://astralltd.com", "https://astralltd.com")</f>
        <v/>
      </c>
      <c r="C2" s="2">
        <f>HYPERLINK("https://www.linkedin.com/company/astralpipesofficial", "https://www.linkedin.com/company/astralpipesofficial")</f>
        <v/>
      </c>
      <c r="D2" t="inlineStr">
        <is>
          <t>India</t>
        </is>
      </c>
      <c r="E2" t="inlineStr">
        <is>
          <t>CFO &amp; Executive Director at Astral Ltd</t>
        </is>
      </c>
      <c r="F2" t="inlineStr">
        <is>
          <t>Hiranand Savlani</t>
        </is>
      </c>
      <c r="G2" s="2">
        <f>HYPERLINK("https://in.linkedin.com/in/hiranand-savlani-816b994b", "https://in.linkedin.com/in/hiranand-savlani-816b994b")</f>
        <v/>
      </c>
    </row>
    <row r="3">
      <c r="A3" t="inlineStr">
        <is>
          <t>Astral Limited</t>
        </is>
      </c>
      <c r="B3" s="2">
        <f>HYPERLINK("https://astralltd.com", "https://astralltd.com")</f>
        <v/>
      </c>
      <c r="C3" s="2">
        <f>HYPERLINK("https://www.linkedin.com/company/astralpipesofficial", "https://www.linkedin.com/company/astralpipesofficial")</f>
        <v/>
      </c>
      <c r="D3" t="inlineStr">
        <is>
          <t>India</t>
        </is>
      </c>
      <c r="E3" t="inlineStr">
        <is>
          <t>CEO, Adhesives &amp; Paints (Astral Limited)</t>
        </is>
      </c>
      <c r="F3" t="inlineStr">
        <is>
          <t>Saumya Engineer</t>
        </is>
      </c>
      <c r="G3" s="2">
        <f>HYPERLINK("https://in.linkedin.com/in/saumya-engineer-6a8803206", "https://in.linkedin.com/in/saumya-engineer-6a8803206")</f>
        <v/>
      </c>
    </row>
    <row r="4">
      <c r="A4" t="inlineStr">
        <is>
          <t>Astral Limited</t>
        </is>
      </c>
      <c r="B4" s="2">
        <f>HYPERLINK("https://astralltd.com", "https://astralltd.com")</f>
        <v/>
      </c>
      <c r="C4" s="2">
        <f>HYPERLINK("https://www.linkedin.com/company/astralpipesofficial", "https://www.linkedin.com/company/astralpipesofficial")</f>
        <v/>
      </c>
      <c r="D4" t="inlineStr">
        <is>
          <t>India</t>
        </is>
      </c>
      <c r="E4" t="inlineStr">
        <is>
          <t>Vice President - Emerging Business and Customer Centricity (Astral Limited)</t>
        </is>
      </c>
      <c r="F4" t="inlineStr">
        <is>
          <t>Jitendra Asopa</t>
        </is>
      </c>
      <c r="G4" s="2">
        <f>HYPERLINK("https://in.linkedin.com/in/jitendra-asopa-0b22992b", "https://in.linkedin.com/in/jitendra-asopa-0b22992b")</f>
        <v/>
      </c>
    </row>
    <row r="5">
      <c r="A5" t="inlineStr">
        <is>
          <t>Astral Limited</t>
        </is>
      </c>
      <c r="B5" s="2">
        <f>HYPERLINK("https://astralltd.com", "https://astralltd.com")</f>
        <v/>
      </c>
      <c r="C5" s="2">
        <f>HYPERLINK("https://www.linkedin.com/company/astralpipesofficial", "https://www.linkedin.com/company/astralpipesofficial")</f>
        <v/>
      </c>
      <c r="D5" t="inlineStr">
        <is>
          <t>India</t>
        </is>
      </c>
      <c r="E5" t="inlineStr">
        <is>
          <t>Vice President (Projects) – Astral Limited</t>
        </is>
      </c>
      <c r="F5" t="inlineStr">
        <is>
          <t>Vikas Sharma</t>
        </is>
      </c>
      <c r="G5" s="2">
        <f>HYPERLINK("https://in.linkedin.com/in/vikas-sharma-20970921", "https://in.linkedin.com/in/vikas-sharma-20970921")</f>
        <v/>
      </c>
    </row>
    <row r="6">
      <c r="A6" t="inlineStr">
        <is>
          <t>Astral Limited</t>
        </is>
      </c>
      <c r="B6" s="2">
        <f>HYPERLINK("https://astralltd.com", "https://astralltd.com")</f>
        <v/>
      </c>
      <c r="C6" s="2">
        <f>HYPERLINK("https://www.linkedin.com/company/astralpipesofficial", "https://www.linkedin.com/company/astralpipesofficial")</f>
        <v/>
      </c>
      <c r="D6" t="inlineStr">
        <is>
          <t>India</t>
        </is>
      </c>
      <c r="E6" t="inlineStr">
        <is>
          <t>Head of Marketing - India &amp; Nepal @ Astral Limited</t>
        </is>
      </c>
      <c r="F6" t="inlineStr">
        <is>
          <t>Abhishek Kumar Sharma</t>
        </is>
      </c>
      <c r="G6" s="2">
        <f>HYPERLINK("https://in.linkedin.com/in/abhishek-kumar-sharma-a3860324", "https://in.linkedin.com/in/abhishek-kumar-sharma-a3860324")</f>
        <v/>
      </c>
    </row>
    <row r="7">
      <c r="A7" t="inlineStr">
        <is>
          <t>V-Guard Industries Limited</t>
        </is>
      </c>
      <c r="B7" s="2">
        <f>HYPERLINK("https://www.vguard.in", "https://www.vguard.in")</f>
        <v/>
      </c>
      <c r="C7" s="2">
        <f>HYPERLINK("https://www.linkedin.com/company/v-guard", "https://www.linkedin.com/company/v-guard")</f>
        <v/>
      </c>
      <c r="D7" t="inlineStr">
        <is>
          <t>India</t>
        </is>
      </c>
      <c r="E7" t="inlineStr">
        <is>
          <t>Managing Director (MD) - V-Guard Industries Ltd.</t>
        </is>
      </c>
      <c r="F7" t="inlineStr">
        <is>
          <t>Mithun Chittilappilly</t>
        </is>
      </c>
      <c r="G7" s="2">
        <f>HYPERLINK("https://in.linkedin.com/in/mithun-chittilappilly-6834a2197", "https://in.linkedin.com/in/mithun-chittilappilly-6834a2197")</f>
        <v/>
      </c>
    </row>
    <row r="8">
      <c r="A8" t="inlineStr">
        <is>
          <t>V-Guard Industries Limited</t>
        </is>
      </c>
      <c r="B8" s="2">
        <f>HYPERLINK("https://www.vguard.in", "https://www.vguard.in")</f>
        <v/>
      </c>
      <c r="C8" s="2">
        <f>HYPERLINK("https://www.linkedin.com/company/v-guard", "https://www.linkedin.com/company/v-guard")</f>
        <v/>
      </c>
      <c r="D8" t="inlineStr">
        <is>
          <t>India</t>
        </is>
      </c>
      <c r="E8" t="inlineStr">
        <is>
          <t>Director - V-Guard Industries Ltd.</t>
        </is>
      </c>
      <c r="F8" t="inlineStr">
        <is>
          <t>Ramachandran Venkataraman</t>
        </is>
      </c>
      <c r="G8" s="2">
        <f>HYPERLINK("https://in.linkedin.com/in/ramachandranvenketaraman", "https://in.linkedin.com/in/ramachandranvenketaraman")</f>
        <v/>
      </c>
    </row>
    <row r="9">
      <c r="A9" t="inlineStr">
        <is>
          <t>V-Guard Industries Limited</t>
        </is>
      </c>
      <c r="B9" s="2">
        <f>HYPERLINK("https://www.vguard.in", "https://www.vguard.in")</f>
        <v/>
      </c>
      <c r="C9" s="2">
        <f>HYPERLINK("https://www.linkedin.com/company/v-guard", "https://www.linkedin.com/company/v-guard")</f>
        <v/>
      </c>
      <c r="D9" t="inlineStr">
        <is>
          <t>India</t>
        </is>
      </c>
      <c r="E9" t="inlineStr">
        <is>
          <t>Chief Financial Officer (CFO) - V-Guard Industries Ltd.</t>
        </is>
      </c>
      <c r="F9" t="inlineStr">
        <is>
          <t>Sudarshan Kasturi</t>
        </is>
      </c>
      <c r="G9" s="2">
        <f>HYPERLINK("https://in.linkedin.com/in/sudarshan-kasturi-6a60157", "https://in.linkedin.com/in/sudarshan-kasturi-6a60157")</f>
        <v/>
      </c>
    </row>
    <row r="10">
      <c r="A10" t="inlineStr">
        <is>
          <t>V-Guard Industries Limited</t>
        </is>
      </c>
      <c r="B10" s="2">
        <f>HYPERLINK("https://www.vguard.in", "https://www.vguard.in")</f>
        <v/>
      </c>
      <c r="C10" s="2">
        <f>HYPERLINK("https://www.linkedin.com/company/v-guard", "https://www.linkedin.com/company/v-guard")</f>
        <v/>
      </c>
      <c r="D10" t="inlineStr">
        <is>
          <t>India</t>
        </is>
      </c>
      <c r="E10" t="inlineStr">
        <is>
          <t>Senior General Manager &amp; Plant Head - V-Guard Industries Ltd.</t>
        </is>
      </c>
      <c r="F10" t="inlineStr">
        <is>
          <t>Sivakumar V</t>
        </is>
      </c>
      <c r="G10" s="2">
        <f>HYPERLINK("https://in.linkedin.com/in/sivakumar-v-50a59933", "https://in.linkedin.com/in/sivakumar-v-50a59933")</f>
        <v/>
      </c>
    </row>
    <row r="11">
      <c r="A11" t="inlineStr">
        <is>
          <t>V-Guard Industries Limited</t>
        </is>
      </c>
      <c r="B11" s="2">
        <f>HYPERLINK("https://www.vguard.in", "https://www.vguard.in")</f>
        <v/>
      </c>
      <c r="C11" s="2">
        <f>HYPERLINK("https://www.linkedin.com/company/v-guard", "https://www.linkedin.com/company/v-guard")</f>
        <v/>
      </c>
      <c r="D11" t="inlineStr">
        <is>
          <t>India</t>
        </is>
      </c>
      <c r="E11" t="inlineStr">
        <is>
          <t>Head of Commercial Operations, V-Guard</t>
        </is>
      </c>
      <c r="F11" t="inlineStr">
        <is>
          <t>Suresh Balakrishnan</t>
        </is>
      </c>
      <c r="G11" s="2">
        <f>HYPERLINK("https://in.linkedin.com/in/suresh-balakrishnan-547432269", "https://in.linkedin.com/in/suresh-balakrishnan-547432269")</f>
        <v/>
      </c>
    </row>
    <row r="12">
      <c r="A12" t="inlineStr">
        <is>
          <t>Sundram Fasteners Limited</t>
        </is>
      </c>
      <c r="B12" s="2">
        <f>HYPERLINK("https://www.sundram.com", "https://www.sundram.com")</f>
        <v/>
      </c>
      <c r="C12" s="2">
        <f>HYPERLINK("https://www.linkedin.com/company/sundram-fasteners", "https://www.linkedin.com/company/sundram-fasteners")</f>
        <v/>
      </c>
      <c r="D12" t="inlineStr">
        <is>
          <t>India</t>
        </is>
      </c>
      <c r="E12" t="inlineStr">
        <is>
          <t>Vice President - Finance &amp; Projects</t>
        </is>
      </c>
      <c r="F12" t="inlineStr">
        <is>
          <t>Ganesh Ramamoorthy</t>
        </is>
      </c>
      <c r="G12" s="2">
        <f>HYPERLINK("https://in.linkedin.com/in/ganesh-ramamoorthy-17b960b7", "https://in.linkedin.com/in/ganesh-ramamoorthy-17b960b7")</f>
        <v/>
      </c>
    </row>
    <row r="13">
      <c r="A13" t="inlineStr">
        <is>
          <t>Sundram Fasteners Limited</t>
        </is>
      </c>
      <c r="B13" s="2">
        <f>HYPERLINK("https://www.sundram.com", "https://www.sundram.com")</f>
        <v/>
      </c>
      <c r="C13" s="2">
        <f>HYPERLINK("https://www.linkedin.com/company/sundram-fasteners", "https://www.linkedin.com/company/sundram-fasteners")</f>
        <v/>
      </c>
      <c r="D13" t="inlineStr">
        <is>
          <t>India</t>
        </is>
      </c>
      <c r="E13" t="inlineStr">
        <is>
          <t>President</t>
        </is>
      </c>
      <c r="F13" t="inlineStr">
        <is>
          <t>Narayansamy Balakrishnan</t>
        </is>
      </c>
      <c r="G13" s="2">
        <f>HYPERLINK("https://in.linkedin.com/in/narayansamy-balakrishnan-72a699112", "https://in.linkedin.com/in/narayansamy-balakrishnan-72a699112")</f>
        <v/>
      </c>
    </row>
    <row r="14">
      <c r="A14" t="inlineStr">
        <is>
          <t>Sundram Fasteners Limited</t>
        </is>
      </c>
      <c r="B14" s="2">
        <f>HYPERLINK("https://www.sundram.com", "https://www.sundram.com")</f>
        <v/>
      </c>
      <c r="C14" s="2">
        <f>HYPERLINK("https://www.linkedin.com/company/sundram-fasteners", "https://www.linkedin.com/company/sundram-fasteners")</f>
        <v/>
      </c>
      <c r="D14" t="inlineStr">
        <is>
          <t>India</t>
        </is>
      </c>
      <c r="E14" t="inlineStr">
        <is>
          <t>Senior General Manager / General Manager</t>
        </is>
      </c>
      <c r="F14" t="inlineStr">
        <is>
          <t>P Padmanabhan</t>
        </is>
      </c>
      <c r="G14" s="2">
        <f>HYPERLINK("https://in.linkedin.com/in/p-padmanabhan-45b11bb", "https://in.linkedin.com/in/p-padmanabhan-45b11bb")</f>
        <v/>
      </c>
    </row>
    <row r="15">
      <c r="A15" t="inlineStr">
        <is>
          <t>Sundram Fasteners Limited</t>
        </is>
      </c>
      <c r="B15" s="2">
        <f>HYPERLINK("https://www.sundram.com", "https://www.sundram.com")</f>
        <v/>
      </c>
      <c r="C15" s="2">
        <f>HYPERLINK("https://www.linkedin.com/company/sundram-fasteners", "https://www.linkedin.com/company/sundram-fasteners")</f>
        <v/>
      </c>
      <c r="D15" t="inlineStr">
        <is>
          <t>India</t>
        </is>
      </c>
      <c r="E15" t="inlineStr">
        <is>
          <t>Executive Vice President - Operations</t>
        </is>
      </c>
      <c r="F15" t="inlineStr">
        <is>
          <t>Dr. Ramesh S</t>
        </is>
      </c>
      <c r="G15" s="2">
        <f>HYPERLINK("https://in.linkedin.com/in/dr-ramesh-s-569150223", "https://in.linkedin.com/in/dr-ramesh-s-569150223")</f>
        <v/>
      </c>
    </row>
    <row r="16">
      <c r="A16" t="inlineStr">
        <is>
          <t>Sundram Fasteners Limited</t>
        </is>
      </c>
      <c r="B16" s="2">
        <f>HYPERLINK("https://www.sundram.com", "https://www.sundram.com")</f>
        <v/>
      </c>
      <c r="C16" s="2">
        <f>HYPERLINK("https://www.linkedin.com/company/sundram-fasteners", "https://www.linkedin.com/company/sundram-fasteners")</f>
        <v/>
      </c>
      <c r="D16" t="inlineStr">
        <is>
          <t>India</t>
        </is>
      </c>
      <c r="E16" t="inlineStr">
        <is>
          <t>Manager HR</t>
        </is>
      </c>
      <c r="F16" t="inlineStr">
        <is>
          <t>John Paul X</t>
        </is>
      </c>
      <c r="G16" s="2">
        <f>HYPERLINK("https://in.linkedin.com/in/john-paul-x-70290a49", "https://in.linkedin.com/in/john-paul-x-70290a49")</f>
        <v/>
      </c>
    </row>
    <row r="17">
      <c r="A17" t="inlineStr">
        <is>
          <t>JBM Auto Limited</t>
        </is>
      </c>
      <c r="B17" s="2">
        <f>HYPERLINK("https://www.jbmgroup.com", "https://www.jbmgroup.com")</f>
        <v/>
      </c>
      <c r="C17" s="2">
        <f>HYPERLINK("https://www.linkedin.com/company/jbm-group", "https://www.linkedin.com/company/jbm-group")</f>
        <v/>
      </c>
      <c r="D17" t="inlineStr">
        <is>
          <t>India</t>
        </is>
      </c>
      <c r="E17" t="inlineStr">
        <is>
          <t>General Manager &amp; Group Head – Marketing, Communications &amp; Branding, JBM Group</t>
        </is>
      </c>
      <c r="F17" t="inlineStr">
        <is>
          <t>Dushyant Sharma</t>
        </is>
      </c>
      <c r="G17" s="2">
        <f>HYPERLINK("https://in.linkedin.com/in/dushyants", "https://in.linkedin.com/in/dushyants")</f>
        <v/>
      </c>
    </row>
    <row r="18">
      <c r="A18" t="inlineStr">
        <is>
          <t>JBM Auto Limited</t>
        </is>
      </c>
      <c r="B18" s="2">
        <f>HYPERLINK("https://www.jbmgroup.com", "https://www.jbmgroup.com")</f>
        <v/>
      </c>
      <c r="C18" s="2">
        <f>HYPERLINK("https://www.linkedin.com/company/jbm-group", "https://www.linkedin.com/company/jbm-group")</f>
        <v/>
      </c>
      <c r="D18" t="inlineStr">
        <is>
          <t>India</t>
        </is>
      </c>
      <c r="E18" t="inlineStr">
        <is>
          <t>Executive Director (Whole-Time Director), JBM Auto Ltd</t>
        </is>
      </c>
      <c r="F18" t="inlineStr">
        <is>
          <t>Dhiraj Mohan</t>
        </is>
      </c>
      <c r="G18" s="2">
        <f>HYPERLINK("https://in.linkedin.com/in/dhiraj-mohan-74958411", "https://in.linkedin.com/in/dhiraj-mohan-74958411")</f>
        <v/>
      </c>
    </row>
    <row r="19">
      <c r="A19" t="inlineStr">
        <is>
          <t>JBM Auto Limited</t>
        </is>
      </c>
      <c r="B19" s="2">
        <f>HYPERLINK("https://www.jbmgroup.com", "https://www.jbmgroup.com")</f>
        <v/>
      </c>
      <c r="C19" s="2">
        <f>HYPERLINK("https://www.linkedin.com/company/jbm-group", "https://www.linkedin.com/company/jbm-group")</f>
        <v/>
      </c>
      <c r="D19" t="inlineStr">
        <is>
          <t>India</t>
        </is>
      </c>
      <c r="E19" t="inlineStr">
        <is>
          <t>President &amp; CFO, JBM Auto Ltd.</t>
        </is>
      </c>
      <c r="F19" t="inlineStr">
        <is>
          <t>Vivek Gupta</t>
        </is>
      </c>
      <c r="G19" s="2">
        <f>HYPERLINK("https://in.linkedin.com/in/vivek-gupta-61018422", "https://in.linkedin.com/in/vivek-gupta-61018422")</f>
        <v/>
      </c>
    </row>
    <row r="20">
      <c r="A20" t="inlineStr">
        <is>
          <t>JBM Auto Limited</t>
        </is>
      </c>
      <c r="B20" s="2">
        <f>HYPERLINK("https://www.jbmgroup.com", "https://www.jbmgroup.com")</f>
        <v/>
      </c>
      <c r="C20" s="2">
        <f>HYPERLINK("https://www.linkedin.com/company/jbm-group", "https://www.linkedin.com/company/jbm-group")</f>
        <v/>
      </c>
      <c r="D20" t="inlineStr">
        <is>
          <t>India</t>
        </is>
      </c>
      <c r="E20" t="inlineStr">
        <is>
          <t>President &amp; Group CHRO, JBM Group</t>
        </is>
      </c>
      <c r="F20" t="inlineStr">
        <is>
          <t>Rajiv Sahdev</t>
        </is>
      </c>
      <c r="G20" s="2">
        <f>HYPERLINK("https://in.linkedin.com/in/rajiv-sahdev-7a436410", "https://in.linkedin.com/in/rajiv-sahdev-7a436410")</f>
        <v/>
      </c>
    </row>
    <row r="21">
      <c r="A21" t="inlineStr">
        <is>
          <t>JBM Auto Limited</t>
        </is>
      </c>
      <c r="B21" s="2">
        <f>HYPERLINK("https://www.jbmgroup.com", "https://www.jbmgroup.com")</f>
        <v/>
      </c>
      <c r="C21" s="2">
        <f>HYPERLINK("https://www.linkedin.com/company/jbm-group", "https://www.linkedin.com/company/jbm-group")</f>
        <v/>
      </c>
      <c r="D21" t="inlineStr">
        <is>
          <t>India</t>
        </is>
      </c>
      <c r="E21" t="inlineStr">
        <is>
          <t>President &amp; CEO at JBM Electric Vehicles Pvt. Ltd</t>
        </is>
      </c>
      <c r="F21" t="inlineStr">
        <is>
          <t>Sanjay Rusia</t>
        </is>
      </c>
      <c r="G21" s="2">
        <f>HYPERLINK("https://in.linkedin.com/in/sanjay-rusia-85a45442", "https://in.linkedin.com/in/sanjay-rusia-85a45442")</f>
        <v/>
      </c>
    </row>
    <row r="22">
      <c r="A22" t="inlineStr">
        <is>
          <t>JBM Auto Limited</t>
        </is>
      </c>
      <c r="B22" s="2">
        <f>HYPERLINK("https://www.jbmgroup.com", "https://www.jbmgroup.com")</f>
        <v/>
      </c>
      <c r="C22" s="2">
        <f>HYPERLINK("https://www.linkedin.com/company/jbm-group", "https://www.linkedin.com/company/jbm-group")</f>
        <v/>
      </c>
      <c r="D22" t="inlineStr">
        <is>
          <t>India</t>
        </is>
      </c>
      <c r="E22" t="inlineStr">
        <is>
          <t>Vice President at JBM Group</t>
        </is>
      </c>
      <c r="F22" t="inlineStr">
        <is>
          <t>Sanjay Bassi</t>
        </is>
      </c>
      <c r="G22" s="2">
        <f>HYPERLINK("https://in.linkedin.com/in/sanjay-bassi-985452139", "https://in.linkedin.com/in/sanjay-bassi-985452139")</f>
        <v/>
      </c>
    </row>
    <row r="23">
      <c r="A23" t="inlineStr">
        <is>
          <t>JBM Auto Limited</t>
        </is>
      </c>
      <c r="B23" s="2">
        <f>HYPERLINK("https://www.jbmgroup.com", "https://www.jbmgroup.com")</f>
        <v/>
      </c>
      <c r="C23" s="2">
        <f>HYPERLINK("https://www.linkedin.com/company/jbm-group", "https://www.linkedin.com/company/jbm-group")</f>
        <v/>
      </c>
      <c r="D23" t="inlineStr">
        <is>
          <t>India</t>
        </is>
      </c>
      <c r="E23" t="inlineStr">
        <is>
          <t>General Manager - Operations</t>
        </is>
      </c>
      <c r="F23" t="inlineStr">
        <is>
          <t>Prabhat Dhusiya</t>
        </is>
      </c>
      <c r="G23" s="2">
        <f>HYPERLINK("https://in.linkedin.com/in/prabhat-dhusiya-07255258", "https://in.linkedin.com/in/prabhat-dhusiya-07255258")</f>
        <v/>
      </c>
    </row>
    <row r="24">
      <c r="A24" t="inlineStr">
        <is>
          <t>JBM Auto Limited</t>
        </is>
      </c>
      <c r="B24" s="2">
        <f>HYPERLINK("https://www.jbmgroup.com", "https://www.jbmgroup.com")</f>
        <v/>
      </c>
      <c r="C24" s="2">
        <f>HYPERLINK("https://www.linkedin.com/company/jbm-group", "https://www.linkedin.com/company/jbm-group")</f>
        <v/>
      </c>
      <c r="D24" t="inlineStr">
        <is>
          <t>India</t>
        </is>
      </c>
      <c r="E24" t="inlineStr">
        <is>
          <t>Plant Head at JBM Group</t>
        </is>
      </c>
      <c r="F24" t="inlineStr">
        <is>
          <t>Sanjay Sharma</t>
        </is>
      </c>
      <c r="G24" s="2">
        <f>HYPERLINK("https://in.linkedin.com/in/sanjay-sharma-6b4289181", "https://in.linkedin.com/in/sanjay-sharma-6b4289181")</f>
        <v/>
      </c>
    </row>
    <row r="25">
      <c r="A25" t="inlineStr">
        <is>
          <t>Minda Corporation Limited</t>
        </is>
      </c>
      <c r="B25" s="2">
        <f>HYPERLINK("https://sparkminda.com", "https://sparkminda.com")</f>
        <v/>
      </c>
      <c r="C25" s="2">
        <f>HYPERLINK("https://www.linkedin.com/company/sparkminda", "https://www.linkedin.com/company/sparkminda")</f>
        <v/>
      </c>
      <c r="D25" t="inlineStr">
        <is>
          <t>India</t>
        </is>
      </c>
      <c r="E25" t="inlineStr">
        <is>
          <t>Chairman &amp; Group CEO at Spark Minda</t>
        </is>
      </c>
      <c r="F25" t="inlineStr">
        <is>
          <t>Ashok Minda</t>
        </is>
      </c>
      <c r="G25" s="2">
        <f>HYPERLINK("https://in.linkedin.com/in/ashok-minda-083671229", "https://in.linkedin.com/in/ashok-minda-083671229")</f>
        <v/>
      </c>
    </row>
    <row r="26">
      <c r="A26" t="inlineStr">
        <is>
          <t>Minda Corporation Limited</t>
        </is>
      </c>
      <c r="B26" s="2">
        <f>HYPERLINK("https://sparkminda.com", "https://sparkminda.com")</f>
        <v/>
      </c>
      <c r="C26" s="2">
        <f>HYPERLINK("https://www.linkedin.com/company/sparkminda", "https://www.linkedin.com/company/sparkminda")</f>
        <v/>
      </c>
      <c r="D26" t="inlineStr">
        <is>
          <t>India</t>
        </is>
      </c>
      <c r="E26" t="inlineStr">
        <is>
          <t>CEO at Minda Corporation Limited</t>
        </is>
      </c>
      <c r="F26" t="inlineStr">
        <is>
          <t>Sumit Doseja</t>
        </is>
      </c>
      <c r="G26" s="2">
        <f>HYPERLINK("https://in.linkedin.com/in/sumit-doseja-80442016", "https://in.linkedin.com/in/sumit-doseja-80442016")</f>
        <v/>
      </c>
    </row>
    <row r="27">
      <c r="A27" t="inlineStr">
        <is>
          <t>Minda Corporation Limited</t>
        </is>
      </c>
      <c r="B27" s="2">
        <f>HYPERLINK("https://sparkminda.com", "https://sparkminda.com")</f>
        <v/>
      </c>
      <c r="C27" s="2">
        <f>HYPERLINK("https://www.linkedin.com/company/sparkminda", "https://www.linkedin.com/company/sparkminda")</f>
        <v/>
      </c>
      <c r="D27" t="inlineStr">
        <is>
          <t>India</t>
        </is>
      </c>
      <c r="E27" t="inlineStr">
        <is>
          <t>CEO at Spark Minda</t>
        </is>
      </c>
      <c r="F27" t="inlineStr">
        <is>
          <t>Deepak Arora</t>
        </is>
      </c>
      <c r="G27" s="2">
        <f>HYPERLINK("https://in.linkedin.com/in/deepak-arora-57655215", "https://in.linkedin.com/in/deepak-arora-57655215")</f>
        <v/>
      </c>
    </row>
    <row r="28">
      <c r="A28" t="inlineStr">
        <is>
          <t>Minda Corporation Limited</t>
        </is>
      </c>
      <c r="B28" s="2">
        <f>HYPERLINK("https://sparkminda.com", "https://sparkminda.com")</f>
        <v/>
      </c>
      <c r="C28" s="2">
        <f>HYPERLINK("https://www.linkedin.com/company/sparkminda", "https://www.linkedin.com/company/sparkminda")</f>
        <v/>
      </c>
      <c r="D28" t="inlineStr">
        <is>
          <t>India</t>
        </is>
      </c>
      <c r="E28" t="inlineStr">
        <is>
          <t>CEO at Minda Corporation limited (AMD)</t>
        </is>
      </c>
      <c r="F28" t="inlineStr">
        <is>
          <t>Sunil Goel</t>
        </is>
      </c>
      <c r="G28" s="2">
        <f>HYPERLINK("https://in.linkedin.com/in/sunil-goel-4b275b24", "https://in.linkedin.com/in/sunil-goel-4b275b24")</f>
        <v/>
      </c>
    </row>
    <row r="29">
      <c r="A29" t="inlineStr">
        <is>
          <t>Minda Corporation Limited</t>
        </is>
      </c>
      <c r="B29" s="2">
        <f>HYPERLINK("https://sparkminda.com", "https://sparkminda.com")</f>
        <v/>
      </c>
      <c r="C29" s="2">
        <f>HYPERLINK("https://www.linkedin.com/company/sparkminda", "https://www.linkedin.com/company/sparkminda")</f>
        <v/>
      </c>
      <c r="D29" t="inlineStr">
        <is>
          <t>India</t>
        </is>
      </c>
      <c r="E29" t="inlineStr">
        <is>
          <t>Board Member : EV Products | Group CTO</t>
        </is>
      </c>
      <c r="F29" t="inlineStr">
        <is>
          <t>Dr. Suresh D</t>
        </is>
      </c>
      <c r="G29" s="2">
        <f>HYPERLINK("https://in.linkedin.com/in/dr-suresh-d-402a6229", "https://in.linkedin.com/in/dr-suresh-d-402a6229")</f>
        <v/>
      </c>
    </row>
    <row r="30">
      <c r="A30" t="inlineStr">
        <is>
          <t>Minda Corporation Limited</t>
        </is>
      </c>
      <c r="B30" s="2">
        <f>HYPERLINK("https://sparkminda.com", "https://sparkminda.com")</f>
        <v/>
      </c>
      <c r="C30" s="2">
        <f>HYPERLINK("https://www.linkedin.com/company/sparkminda", "https://www.linkedin.com/company/sparkminda")</f>
        <v/>
      </c>
      <c r="D30" t="inlineStr">
        <is>
          <t>India</t>
        </is>
      </c>
      <c r="E30" t="inlineStr">
        <is>
          <t>Executive Director, Minda Corporation Ltd.</t>
        </is>
      </c>
      <c r="F30" t="inlineStr">
        <is>
          <t>Aakash Minda</t>
        </is>
      </c>
      <c r="G30" s="2">
        <f>HYPERLINK("https://in.linkedin.com/in/aakash-minda-638a1121", "https://in.linkedin.com/in/aakash-minda-638a1121")</f>
        <v/>
      </c>
    </row>
    <row r="31">
      <c r="A31" t="inlineStr">
        <is>
          <t>Ram Ratna Wires Limited</t>
        </is>
      </c>
      <c r="B31" s="2">
        <f>HYPERLINK("https://www.rrshramik.com", "https://www.rrshramik.com")</f>
        <v/>
      </c>
      <c r="C31" s="2">
        <f>HYPERLINK("https://www.linkedin.com/company/rrglobal", "https://www.linkedin.com/company/rrglobal")</f>
        <v/>
      </c>
      <c r="D31" t="inlineStr">
        <is>
          <t>India</t>
        </is>
      </c>
      <c r="E31" t="inlineStr">
        <is>
          <t>Sr. Vice President – Marketing</t>
        </is>
      </c>
      <c r="F31" t="inlineStr">
        <is>
          <t>Nimesh Kapoor</t>
        </is>
      </c>
      <c r="G31" s="2">
        <f>HYPERLINK("https://in.linkedin.com/in/nimesh-kapoor-3156548b", "https://in.linkedin.com/in/nimesh-kapoor-3156548b")</f>
        <v/>
      </c>
    </row>
    <row r="32">
      <c r="A32" t="inlineStr">
        <is>
          <t>Ram Ratna Wires Limited</t>
        </is>
      </c>
      <c r="B32" s="2">
        <f>HYPERLINK("https://www.rrshramik.com", "https://www.rrshramik.com")</f>
        <v/>
      </c>
      <c r="C32" s="2">
        <f>HYPERLINK("https://www.linkedin.com/company/rrglobal", "https://www.linkedin.com/company/rrglobal")</f>
        <v/>
      </c>
      <c r="D32" t="inlineStr">
        <is>
          <t>India</t>
        </is>
      </c>
      <c r="E32" t="inlineStr">
        <is>
          <t>Senior Vice President – Development</t>
        </is>
      </c>
      <c r="F32" t="inlineStr">
        <is>
          <t>Vijay Chandak</t>
        </is>
      </c>
      <c r="G32" s="2">
        <f>HYPERLINK("https://in.linkedin.com/in/vijay-l-chandak-aa81534a", "https://in.linkedin.com/in/vijay-l-chandak-aa81534a")</f>
        <v/>
      </c>
    </row>
    <row r="33">
      <c r="A33" t="inlineStr">
        <is>
          <t>Ram Ratna Wires Limited</t>
        </is>
      </c>
      <c r="B33" s="2">
        <f>HYPERLINK("https://www.rrshramik.com", "https://www.rrshramik.com")</f>
        <v/>
      </c>
      <c r="C33" s="2">
        <f>HYPERLINK("https://www.linkedin.com/company/rrglobal", "https://www.linkedin.com/company/rrglobal")</f>
        <v/>
      </c>
      <c r="D33" t="inlineStr">
        <is>
          <t>India</t>
        </is>
      </c>
      <c r="E33" t="inlineStr">
        <is>
          <t>Director at Ram Ratna Group of Industries</t>
        </is>
      </c>
      <c r="F33" t="inlineStr">
        <is>
          <t>Sudhir Masaji</t>
        </is>
      </c>
      <c r="G33" s="2">
        <f>HYPERLINK("https://in.linkedin.com/in/sudhir-masaji-a8429b35", "https://in.linkedin.com/in/sudhir-masaji-a8429b35")</f>
        <v/>
      </c>
    </row>
    <row r="34">
      <c r="A34" t="inlineStr">
        <is>
          <t>Ram Ratna Wires Limited</t>
        </is>
      </c>
      <c r="B34" s="2">
        <f>HYPERLINK("https://www.rrshramik.com", "https://www.rrshramik.com")</f>
        <v/>
      </c>
      <c r="C34" s="2">
        <f>HYPERLINK("https://www.linkedin.com/company/rrglobal", "https://www.linkedin.com/company/rrglobal")</f>
        <v/>
      </c>
      <c r="D34" t="inlineStr">
        <is>
          <t>India</t>
        </is>
      </c>
      <c r="E34" t="inlineStr">
        <is>
          <t>AGM Technical Cell at RAM RATNA WIRES LTD</t>
        </is>
      </c>
      <c r="F34" t="inlineStr">
        <is>
          <t>Nimesh Shukla</t>
        </is>
      </c>
      <c r="G34" s="2">
        <f>HYPERLINK("https://in.linkedin.com/in/nimesh-shukla-2a50a7a4", "https://in.linkedin.com/in/nimesh-shukla-2a50a7a4")</f>
        <v/>
      </c>
    </row>
    <row r="35">
      <c r="A35" t="inlineStr">
        <is>
          <t>Ram Ratna Wires Limited</t>
        </is>
      </c>
      <c r="B35" s="2">
        <f>HYPERLINK("https://www.rrshramik.com", "https://www.rrshramik.com")</f>
        <v/>
      </c>
      <c r="C35" s="2">
        <f>HYPERLINK("https://www.linkedin.com/company/rrglobal", "https://www.linkedin.com/company/rrglobal")</f>
        <v/>
      </c>
      <c r="D35" t="inlineStr">
        <is>
          <t>India</t>
        </is>
      </c>
      <c r="E35" t="inlineStr">
        <is>
          <t>Assistant Manager, Ram Ratna Wires Limited</t>
        </is>
      </c>
      <c r="F35" t="inlineStr">
        <is>
          <t>Nimesh Chandak</t>
        </is>
      </c>
      <c r="G35" s="2">
        <f>HYPERLINK("https://in.linkedin.com/in/nimesh-chandak-0a9728194", "https://in.linkedin.com/in/nimesh-chandak-0a9728194")</f>
        <v/>
      </c>
    </row>
    <row r="36">
      <c r="A36" t="inlineStr">
        <is>
          <t>Ram Ratna Wires Limited</t>
        </is>
      </c>
      <c r="B36" s="2">
        <f>HYPERLINK("https://www.rrshramik.com", "https://www.rrshramik.com")</f>
        <v/>
      </c>
      <c r="C36" s="2">
        <f>HYPERLINK("https://www.linkedin.com/company/rrglobal", "https://www.linkedin.com/company/rrglobal")</f>
        <v/>
      </c>
      <c r="D36" t="inlineStr">
        <is>
          <t>India</t>
        </is>
      </c>
      <c r="E36" t="inlineStr">
        <is>
          <t>Manager, Maintenance at RAM RATNA WIRES LTD</t>
        </is>
      </c>
      <c r="F36" t="inlineStr">
        <is>
          <t>Subhashish Ghosh</t>
        </is>
      </c>
      <c r="G36" s="2">
        <f>HYPERLINK("https://in.linkedin.com/in/subhashish-ghosh-95231125", "https://in.linkedin.com/in/subhashish-ghosh-95231125")</f>
        <v/>
      </c>
    </row>
    <row r="37">
      <c r="A37" t="inlineStr">
        <is>
          <t>Ram Ratna Wires Limited</t>
        </is>
      </c>
      <c r="B37" s="2">
        <f>HYPERLINK("https://www.rrshramik.com", "https://www.rrshramik.com")</f>
        <v/>
      </c>
      <c r="C37" s="2">
        <f>HYPERLINK("https://www.linkedin.com/company/rrglobal", "https://www.linkedin.com/company/rrglobal")</f>
        <v/>
      </c>
      <c r="D37" t="inlineStr">
        <is>
          <t>India</t>
        </is>
      </c>
      <c r="E37" t="inlineStr">
        <is>
          <t>Manager, Sales at Ram Ratna Wires Limited</t>
        </is>
      </c>
      <c r="F37" t="inlineStr">
        <is>
          <t>Uttam Somani</t>
        </is>
      </c>
      <c r="G37" s="2">
        <f>HYPERLINK("https://in.linkedin.com/in/uttam-somani-70200782", "https://in.linkedin.com/in/uttam-somani-70200782")</f>
        <v/>
      </c>
    </row>
    <row r="38">
      <c r="A38" t="inlineStr">
        <is>
          <t>Rane Holdings Limited</t>
        </is>
      </c>
      <c r="B38" s="2">
        <f>HYPERLINK("https://www.ranegroup.com", "https://www.ranegroup.com")</f>
        <v/>
      </c>
      <c r="C38" s="2">
        <f>HYPERLINK("https://www.linkedin.com/company/rane-holdings-limited", "https://www.linkedin.com/company/rane-holdings-limited")</f>
        <v/>
      </c>
      <c r="D38" t="inlineStr">
        <is>
          <t>India</t>
        </is>
      </c>
      <c r="E38" t="inlineStr">
        <is>
          <t>President - Finance &amp; Group CFO, Rane Holdings Limited</t>
        </is>
      </c>
      <c r="F38" t="inlineStr">
        <is>
          <t>Dr. P.A. Padmanabhan</t>
        </is>
      </c>
      <c r="G38" s="2">
        <f>HYPERLINK("https://in.linkedin.com/in/dr-p-a-padmanabhan-7247b61b", "https://in.linkedin.com/in/dr-p-a-padmanabhan-7247b61b")</f>
        <v/>
      </c>
    </row>
    <row r="39">
      <c r="A39" t="inlineStr">
        <is>
          <t>Rane Holdings Limited</t>
        </is>
      </c>
      <c r="B39" s="2">
        <f>HYPERLINK("https://www.ranegroup.com", "https://www.ranegroup.com")</f>
        <v/>
      </c>
      <c r="C39" s="2">
        <f>HYPERLINK("https://www.linkedin.com/company/rane-holdings-limited", "https://www.linkedin.com/company/rane-holdings-limited")</f>
        <v/>
      </c>
      <c r="D39" t="inlineStr">
        <is>
          <t>India</t>
        </is>
      </c>
      <c r="E39" t="inlineStr">
        <is>
          <t>SVP - HR, Rane Group</t>
        </is>
      </c>
      <c r="F39" t="inlineStr">
        <is>
          <t>Ramasubramanian Venkatraman</t>
        </is>
      </c>
      <c r="G39" s="2">
        <f>HYPERLINK("https://in.linkedin.com/in/ramasubramanianvenkatraman", "https://in.linkedin.com/in/ramasubramanianvenkatraman")</f>
        <v/>
      </c>
    </row>
    <row r="40">
      <c r="A40" t="inlineStr">
        <is>
          <t>Rane Holdings Limited</t>
        </is>
      </c>
      <c r="B40" s="2">
        <f>HYPERLINK("https://www.ranegroup.com", "https://www.ranegroup.com")</f>
        <v/>
      </c>
      <c r="C40" s="2">
        <f>HYPERLINK("https://www.linkedin.com/company/rane-holdings-limited", "https://www.linkedin.com/company/rane-holdings-limited")</f>
        <v/>
      </c>
      <c r="D40" t="inlineStr">
        <is>
          <t>India</t>
        </is>
      </c>
      <c r="E40" t="inlineStr">
        <is>
          <t>Vice President, Rane Group</t>
        </is>
      </c>
      <c r="F40" t="inlineStr">
        <is>
          <t>Sridhar Subramanian</t>
        </is>
      </c>
      <c r="G40" s="2">
        <f>HYPERLINK("https://in.linkedin.com/in/sridhar-subramanian-178a8215b", "https://in.linkedin.com/in/sridhar-subramanian-178a8215b")</f>
        <v/>
      </c>
    </row>
    <row r="41">
      <c r="A41" t="inlineStr">
        <is>
          <t>Rane Holdings Limited</t>
        </is>
      </c>
      <c r="B41" s="2">
        <f>HYPERLINK("https://www.ranegroup.com", "https://www.ranegroup.com")</f>
        <v/>
      </c>
      <c r="C41" s="2">
        <f>HYPERLINK("https://www.linkedin.com/company/rane-holdings-limited", "https://www.linkedin.com/company/rane-holdings-limited")</f>
        <v/>
      </c>
      <c r="D41" t="inlineStr">
        <is>
          <t>India</t>
        </is>
      </c>
      <c r="E41" t="inlineStr">
        <is>
          <t>President - Corporate, Rane Holdings Ltd</t>
        </is>
      </c>
      <c r="F41" t="inlineStr">
        <is>
          <t>Rajesh Raghavan</t>
        </is>
      </c>
      <c r="G41" s="2">
        <f>HYPERLINK("https://in.linkedin.com/in/rajesh-raghavan-900b8710", "https://in.linkedin.com/in/rajesh-raghavan-900b8710")</f>
        <v/>
      </c>
    </row>
    <row r="42">
      <c r="A42" t="inlineStr">
        <is>
          <t>Rane Holdings Limited</t>
        </is>
      </c>
      <c r="B42" s="2">
        <f>HYPERLINK("https://www.ranegroup.com", "https://www.ranegroup.com")</f>
        <v/>
      </c>
      <c r="C42" s="2">
        <f>HYPERLINK("https://www.linkedin.com/company/rane-holdings-limited", "https://www.linkedin.com/company/rane-holdings-limited")</f>
        <v/>
      </c>
      <c r="D42" t="inlineStr">
        <is>
          <t>India</t>
        </is>
      </c>
      <c r="E42" t="inlineStr">
        <is>
          <t>Chairman (designate), Rane Group / Rane Holdings Limited</t>
        </is>
      </c>
      <c r="F42" t="inlineStr">
        <is>
          <t>Harish Lakshman</t>
        </is>
      </c>
      <c r="G42" s="2">
        <f>HYPERLINK("https://in.linkedin.com/in/harish-lakshman-51b0302", "https://in.linkedin.com/in/harish-lakshman-51b0302")</f>
        <v/>
      </c>
    </row>
    <row r="43">
      <c r="A43" t="inlineStr">
        <is>
          <t>Rane Holdings Limited</t>
        </is>
      </c>
      <c r="B43" s="2">
        <f>HYPERLINK("https://www.ranegroup.com", "https://www.ranegroup.com")</f>
        <v/>
      </c>
      <c r="C43" s="2">
        <f>HYPERLINK("https://www.linkedin.com/company/rane-holdings-limited", "https://www.linkedin.com/company/rane-holdings-limited")</f>
        <v/>
      </c>
      <c r="D43" t="inlineStr">
        <is>
          <t>India</t>
        </is>
      </c>
      <c r="E43" t="inlineStr">
        <is>
          <t>Advisor to Chairman, Rane Holdings Ltd</t>
        </is>
      </c>
      <c r="F43" t="inlineStr">
        <is>
          <t>Ramesh R</t>
        </is>
      </c>
      <c r="G43" s="2">
        <f>HYPERLINK("https://in.linkedin.com/in/ramesh-r-6460941a0", "https://in.linkedin.com/in/ramesh-r-6460941a0")</f>
        <v/>
      </c>
    </row>
    <row r="44">
      <c r="A44" t="inlineStr">
        <is>
          <t>Rane Holdings Limited</t>
        </is>
      </c>
      <c r="B44" s="2">
        <f>HYPERLINK("https://www.ranegroup.com", "https://www.ranegroup.com")</f>
        <v/>
      </c>
      <c r="C44" s="2">
        <f>HYPERLINK("https://www.linkedin.com/company/rane-holdings-limited", "https://www.linkedin.com/company/rane-holdings-limited")</f>
        <v/>
      </c>
      <c r="D44" t="inlineStr">
        <is>
          <t>India</t>
        </is>
      </c>
      <c r="E44" t="inlineStr">
        <is>
          <t>Executive Vice President, Rane Group</t>
        </is>
      </c>
      <c r="F44" t="inlineStr">
        <is>
          <t>Varadharajan S</t>
        </is>
      </c>
      <c r="G44" s="2">
        <f>HYPERLINK("https://in.linkedin.com/in/varadharajan-s-6b7340225", "https://in.linkedin.com/in/varadharajan-s-6b7340225")</f>
        <v/>
      </c>
    </row>
    <row r="45">
      <c r="A45" t="inlineStr">
        <is>
          <t>Rane Holdings Limited</t>
        </is>
      </c>
      <c r="B45" s="2">
        <f>HYPERLINK("https://www.ranegroup.com", "https://www.ranegroup.com")</f>
        <v/>
      </c>
      <c r="C45" s="2">
        <f>HYPERLINK("https://www.linkedin.com/company/rane-holdings-limited", "https://www.linkedin.com/company/rane-holdings-limited")</f>
        <v/>
      </c>
      <c r="D45" t="inlineStr">
        <is>
          <t>India</t>
        </is>
      </c>
      <c r="E45" t="inlineStr">
        <is>
          <t>Advisor; Former Senior Executive Vice President – Secretarial &amp; Legal Services &amp; Company Secretary, Rane Holdings Limited</t>
        </is>
      </c>
      <c r="F45" t="inlineStr">
        <is>
          <t>Siva Chandrasekaran</t>
        </is>
      </c>
      <c r="G45" s="2">
        <f>HYPERLINK("https://in.linkedin.com/in/siva-chandrasekaran-a9488b17", "https://in.linkedin.com/in/siva-chandrasekaran-a9488b17")</f>
        <v/>
      </c>
    </row>
    <row r="46">
      <c r="A46" t="inlineStr">
        <is>
          <t>Century Plyboards (India) Limited</t>
        </is>
      </c>
      <c r="B46" s="2">
        <f>HYPERLINK("https://www.centuryply.com", "https://www.centuryply.com")</f>
        <v/>
      </c>
      <c r="C46" s="2">
        <f>HYPERLINK("https://www.linkedin.com/company/century-plyboards-limited", "https://www.linkedin.com/company/century-plyboards-limited")</f>
        <v/>
      </c>
      <c r="D46" t="inlineStr">
        <is>
          <t>India</t>
        </is>
      </c>
      <c r="E46" t="inlineStr">
        <is>
          <t>Managing Director &amp; CEO</t>
        </is>
      </c>
      <c r="F46" t="inlineStr">
        <is>
          <t>Sanjay Agarwal</t>
        </is>
      </c>
      <c r="G46" s="2">
        <f>HYPERLINK("https://in.linkedin.com/in/sanjay-agarwal-b9504523", "https://in.linkedin.com/in/sanjay-agarwal-b9504523")</f>
        <v/>
      </c>
    </row>
    <row r="47">
      <c r="A47" t="inlineStr">
        <is>
          <t>Century Plyboards (India) Limited</t>
        </is>
      </c>
      <c r="B47" s="2">
        <f>HYPERLINK("https://www.centuryply.com", "https://www.centuryply.com")</f>
        <v/>
      </c>
      <c r="C47" s="2">
        <f>HYPERLINK("https://www.linkedin.com/company/century-plyboards-limited", "https://www.linkedin.com/company/century-plyboards-limited")</f>
        <v/>
      </c>
      <c r="D47" t="inlineStr">
        <is>
          <t>India</t>
        </is>
      </c>
      <c r="E47" t="inlineStr">
        <is>
          <t>Executive Director, Century Plyboards (I) Limited</t>
        </is>
      </c>
      <c r="F47" t="inlineStr">
        <is>
          <t>Rajesh Kumar Agarwal</t>
        </is>
      </c>
      <c r="G47" s="2">
        <f>HYPERLINK("https://in.linkedin.com/in/rajesh-kumar-agarwal-00b80254", "https://in.linkedin.com/in/rajesh-kumar-agarwal-00b80254")</f>
        <v/>
      </c>
    </row>
    <row r="48">
      <c r="A48" t="inlineStr">
        <is>
          <t>Century Plyboards (India) Limited</t>
        </is>
      </c>
      <c r="B48" s="2">
        <f>HYPERLINK("https://www.centuryply.com", "https://www.centuryply.com")</f>
        <v/>
      </c>
      <c r="C48" s="2">
        <f>HYPERLINK("https://www.linkedin.com/company/century-plyboards-limited", "https://www.linkedin.com/company/century-plyboards-limited")</f>
        <v/>
      </c>
      <c r="D48" t="inlineStr">
        <is>
          <t>India</t>
        </is>
      </c>
      <c r="E48" t="inlineStr">
        <is>
          <t>Executive Director - Plywood Division, CenturyPly</t>
        </is>
      </c>
      <c r="F48" t="inlineStr">
        <is>
          <t>Nikita Agarwal Bansal</t>
        </is>
      </c>
      <c r="G48" s="2">
        <f>HYPERLINK("https://in.linkedin.com/in/nikita-agarwal-bansal", "https://in.linkedin.com/in/nikita-agarwal-bansal")</f>
        <v/>
      </c>
    </row>
    <row r="49">
      <c r="A49" t="inlineStr">
        <is>
          <t>Century Plyboards (India) Limited</t>
        </is>
      </c>
      <c r="B49" s="2">
        <f>HYPERLINK("https://www.centuryply.com", "https://www.centuryply.com")</f>
        <v/>
      </c>
      <c r="C49" s="2">
        <f>HYPERLINK("https://www.linkedin.com/company/century-plyboards-limited", "https://www.linkedin.com/company/century-plyboards-limited")</f>
        <v/>
      </c>
      <c r="D49" t="inlineStr">
        <is>
          <t>India</t>
        </is>
      </c>
      <c r="E49" t="inlineStr">
        <is>
          <t>Joint Managing Director, Century Plyboards (I) Limited</t>
        </is>
      </c>
      <c r="F49" t="inlineStr">
        <is>
          <t>Prem Kumar</t>
        </is>
      </c>
      <c r="G49" s="2">
        <f>HYPERLINK("https://in.linkedin.com/in/prem-kumar-763a9228", "https://in.linkedin.com/in/prem-kumar-763a9228")</f>
        <v/>
      </c>
    </row>
    <row r="50">
      <c r="A50" t="inlineStr">
        <is>
          <t>Century Plyboards (India) Limited</t>
        </is>
      </c>
      <c r="B50" s="2">
        <f>HYPERLINK("https://www.centuryply.com", "https://www.centuryply.com")</f>
        <v/>
      </c>
      <c r="C50" s="2">
        <f>HYPERLINK("https://www.linkedin.com/company/century-plyboards-limited", "https://www.linkedin.com/company/century-plyboards-limited")</f>
        <v/>
      </c>
      <c r="D50" t="inlineStr">
        <is>
          <t>India</t>
        </is>
      </c>
      <c r="E50" t="inlineStr">
        <is>
          <t>Vice President - Exports, Century Plyboards (I) Limited</t>
        </is>
      </c>
      <c r="F50" t="inlineStr">
        <is>
          <t>Naveen Lohia</t>
        </is>
      </c>
      <c r="G50" s="2">
        <f>HYPERLINK("https://in.linkedin.com/in/naveen-lohia-10408711", "https://in.linkedin.com/in/naveen-lohia-10408711")</f>
        <v/>
      </c>
    </row>
    <row r="51">
      <c r="A51" t="inlineStr">
        <is>
          <t>Century Plyboards (India) Limited</t>
        </is>
      </c>
      <c r="B51" s="2">
        <f>HYPERLINK("https://www.centuryply.com", "https://www.centuryply.com")</f>
        <v/>
      </c>
      <c r="C51" s="2">
        <f>HYPERLINK("https://www.linkedin.com/company/century-plyboards-limited", "https://www.linkedin.com/company/century-plyboards-limited")</f>
        <v/>
      </c>
      <c r="D51" t="inlineStr">
        <is>
          <t>India</t>
        </is>
      </c>
      <c r="E51" t="inlineStr">
        <is>
          <t>Chief Financial Officer (CFO), Century Plyboards (I) Limited</t>
        </is>
      </c>
      <c r="F51" t="inlineStr">
        <is>
          <t>Arun Julasaria</t>
        </is>
      </c>
      <c r="G51" s="2">
        <f>HYPERLINK("https://in.linkedin.com/in/arun-julasaria-19b71322", "https://in.linkedin.com/in/arun-julasaria-19b71322")</f>
        <v/>
      </c>
    </row>
    <row r="52">
      <c r="A52" t="inlineStr">
        <is>
          <t>Century Plyboards (India) Limited</t>
        </is>
      </c>
      <c r="B52" s="2">
        <f>HYPERLINK("https://www.centuryply.com", "https://www.centuryply.com")</f>
        <v/>
      </c>
      <c r="C52" s="2">
        <f>HYPERLINK("https://www.linkedin.com/company/century-plyboards-limited", "https://www.linkedin.com/company/century-plyboards-limited")</f>
        <v/>
      </c>
      <c r="D52" t="inlineStr">
        <is>
          <t>India</t>
        </is>
      </c>
      <c r="E52" t="inlineStr">
        <is>
          <t>Chief Operating Officer - Panel &amp; Plyboards, Century Plyboards India Limited</t>
        </is>
      </c>
      <c r="F52" t="inlineStr">
        <is>
          <t>Navarun Sen</t>
        </is>
      </c>
      <c r="G52" s="2">
        <f>HYPERLINK("https://in.linkedin.com/in/navarunsen41", "https://in.linkedin.com/in/navarunsen41")</f>
        <v/>
      </c>
    </row>
    <row r="53">
      <c r="A53" t="inlineStr">
        <is>
          <t>Century Plyboards (India) Limited</t>
        </is>
      </c>
      <c r="B53" s="2">
        <f>HYPERLINK("https://www.centuryply.com", "https://www.centuryply.com")</f>
        <v/>
      </c>
      <c r="C53" s="2">
        <f>HYPERLINK("https://www.linkedin.com/company/century-plyboards-limited", "https://www.linkedin.com/company/century-plyboards-limited")</f>
        <v/>
      </c>
      <c r="D53" t="inlineStr">
        <is>
          <t>India</t>
        </is>
      </c>
      <c r="E53" t="inlineStr">
        <is>
          <t>Commercial Head, Century Plyboards India Limited</t>
        </is>
      </c>
      <c r="F53" t="inlineStr">
        <is>
          <t>Abhishek Chawla</t>
        </is>
      </c>
      <c r="G53" s="2">
        <f>HYPERLINK("https://in.linkedin.com/in/abhishek-chawla-84a51572", "https://in.linkedin.com/in/abhishek-chawla-84a51572")</f>
        <v/>
      </c>
    </row>
    <row r="54">
      <c r="A54" t="inlineStr">
        <is>
          <t>Wheels India Limited</t>
        </is>
      </c>
      <c r="B54" s="2">
        <f>HYPERLINK("https://www.wheelsindia.com", "https://www.wheelsindia.com")</f>
        <v/>
      </c>
      <c r="C54" s="2">
        <f>HYPERLINK("https://www.linkedin.com/company/wheelsindialimited", "https://www.linkedin.com/company/wheelsindialimited")</f>
        <v/>
      </c>
      <c r="D54" t="inlineStr">
        <is>
          <t>India</t>
        </is>
      </c>
      <c r="E54" t="inlineStr">
        <is>
          <t>Managing Director</t>
        </is>
      </c>
      <c r="F54" t="inlineStr">
        <is>
          <t>Srivats Ram</t>
        </is>
      </c>
      <c r="G54" s="2">
        <f>HYPERLINK("https://in.linkedin.com/in/srivats-ram-98b60a8", "https://in.linkedin.com/in/srivats-ram-98b60a8")</f>
        <v/>
      </c>
    </row>
    <row r="55">
      <c r="A55" t="inlineStr">
        <is>
          <t>Wheels India Limited</t>
        </is>
      </c>
      <c r="B55" s="2">
        <f>HYPERLINK("https://www.wheelsindia.com", "https://www.wheelsindia.com")</f>
        <v/>
      </c>
      <c r="C55" s="2">
        <f>HYPERLINK("https://www.linkedin.com/company/wheelsindialimited", "https://www.linkedin.com/company/wheelsindialimited")</f>
        <v/>
      </c>
      <c r="D55" t="inlineStr">
        <is>
          <t>India</t>
        </is>
      </c>
      <c r="E55" t="inlineStr">
        <is>
          <t>Vice President</t>
        </is>
      </c>
      <c r="F55" t="inlineStr">
        <is>
          <t>Natarajan Ponnusamy</t>
        </is>
      </c>
      <c r="G55" s="2">
        <f>HYPERLINK("https://in.linkedin.com/in/natarajan-ponnusamy-b0399b12", "https://in.linkedin.com/in/natarajan-ponnusamy-b0399b12")</f>
        <v/>
      </c>
    </row>
    <row r="56">
      <c r="A56" t="inlineStr">
        <is>
          <t>Wheels India Limited</t>
        </is>
      </c>
      <c r="B56" s="2">
        <f>HYPERLINK("https://www.wheelsindia.com", "https://www.wheelsindia.com")</f>
        <v/>
      </c>
      <c r="C56" s="2">
        <f>HYPERLINK("https://www.linkedin.com/company/wheelsindialimited", "https://www.linkedin.com/company/wheelsindialimited")</f>
        <v/>
      </c>
      <c r="D56" t="inlineStr">
        <is>
          <t>India</t>
        </is>
      </c>
      <c r="E56" t="inlineStr">
        <is>
          <t>Head - Sales &amp; Marketing, Engineering Product Division</t>
        </is>
      </c>
      <c r="F56" t="inlineStr">
        <is>
          <t>Loka Prabhu B.</t>
        </is>
      </c>
      <c r="G56" s="2">
        <f>HYPERLINK("https://in.linkedin.com/in/loka-prabhu-b-1530b911", "https://in.linkedin.com/in/loka-prabhu-b-1530b911")</f>
        <v/>
      </c>
    </row>
    <row r="57">
      <c r="A57" t="inlineStr">
        <is>
          <t>Wheels India Limited</t>
        </is>
      </c>
      <c r="B57" s="2">
        <f>HYPERLINK("https://www.wheelsindia.com", "https://www.wheelsindia.com")</f>
        <v/>
      </c>
      <c r="C57" s="2">
        <f>HYPERLINK("https://www.linkedin.com/company/wheelsindialimited", "https://www.linkedin.com/company/wheelsindialimited")</f>
        <v/>
      </c>
      <c r="D57" t="inlineStr">
        <is>
          <t>India</t>
        </is>
      </c>
      <c r="E57" t="inlineStr">
        <is>
          <t>General Manager</t>
        </is>
      </c>
      <c r="F57" t="inlineStr">
        <is>
          <t>Mohan Kumar Muthusamy</t>
        </is>
      </c>
      <c r="G57" s="2">
        <f>HYPERLINK("https://in.linkedin.com/in/mohan-kumar-muthusamy-948bb737", "https://in.linkedin.com/in/mohan-kumar-muthusamy-948bb737")</f>
        <v/>
      </c>
    </row>
    <row r="58">
      <c r="A58" t="inlineStr">
        <is>
          <t>Wheels India Limited</t>
        </is>
      </c>
      <c r="B58" s="2">
        <f>HYPERLINK("https://www.wheelsindia.com", "https://www.wheelsindia.com")</f>
        <v/>
      </c>
      <c r="C58" s="2">
        <f>HYPERLINK("https://www.linkedin.com/company/wheelsindialimited", "https://www.linkedin.com/company/wheelsindialimited")</f>
        <v/>
      </c>
      <c r="D58" t="inlineStr">
        <is>
          <t>India</t>
        </is>
      </c>
      <c r="E58" t="inlineStr">
        <is>
          <t>Vice President - Human Resources</t>
        </is>
      </c>
      <c r="F58" t="inlineStr">
        <is>
          <t>Venkatasami Babu</t>
        </is>
      </c>
      <c r="G58" s="2">
        <f>HYPERLINK("https://in.linkedin.com/in/venkatasami-babu-56a3517", "https://in.linkedin.com/in/venkatasami-babu-56a3517")</f>
        <v/>
      </c>
    </row>
    <row r="59">
      <c r="A59" t="inlineStr">
        <is>
          <t>Wheels India Limited</t>
        </is>
      </c>
      <c r="B59" s="2">
        <f>HYPERLINK("https://www.wheelsindia.com", "https://www.wheelsindia.com")</f>
        <v/>
      </c>
      <c r="C59" s="2">
        <f>HYPERLINK("https://www.linkedin.com/company/wheelsindialimited", "https://www.linkedin.com/company/wheelsindialimited")</f>
        <v/>
      </c>
      <c r="D59" t="inlineStr">
        <is>
          <t>India</t>
        </is>
      </c>
      <c r="E59" t="inlineStr">
        <is>
          <t>Head - IT</t>
        </is>
      </c>
      <c r="F59" t="inlineStr">
        <is>
          <t>Venkatesan Ramamoorthy</t>
        </is>
      </c>
      <c r="G59" s="2">
        <f>HYPERLINK("https://in.linkedin.com/in/venkatesan-ramamoorthy-b63b7049", "https://in.linkedin.com/in/venkatesan-ramamoorthy-b63b7049")</f>
        <v/>
      </c>
    </row>
    <row r="60">
      <c r="A60" t="inlineStr">
        <is>
          <t>Wheels India Limited</t>
        </is>
      </c>
      <c r="B60" s="2">
        <f>HYPERLINK("https://www.wheelsindia.com", "https://www.wheelsindia.com")</f>
        <v/>
      </c>
      <c r="C60" s="2">
        <f>HYPERLINK("https://www.linkedin.com/company/wheelsindialimited", "https://www.linkedin.com/company/wheelsindialimited")</f>
        <v/>
      </c>
      <c r="D60" t="inlineStr">
        <is>
          <t>India</t>
        </is>
      </c>
      <c r="E60" t="inlineStr">
        <is>
          <t>Vice President</t>
        </is>
      </c>
      <c r="F60" t="inlineStr">
        <is>
          <t>Rajasekar Lakshmanan</t>
        </is>
      </c>
      <c r="G60" s="2">
        <f>HYPERLINK("https://in.linkedin.com/in/rajasekar-lakshmanan-83528b19", "https://in.linkedin.com/in/rajasekar-lakshmanan-83528b19")</f>
        <v/>
      </c>
    </row>
    <row r="61">
      <c r="A61" t="inlineStr">
        <is>
          <t>Wheels India Limited</t>
        </is>
      </c>
      <c r="B61" s="2">
        <f>HYPERLINK("https://www.wheelsindia.com", "https://www.wheelsindia.com")</f>
        <v/>
      </c>
      <c r="C61" s="2">
        <f>HYPERLINK("https://www.linkedin.com/company/wheelsindialimited", "https://www.linkedin.com/company/wheelsindialimited")</f>
        <v/>
      </c>
      <c r="D61" t="inlineStr">
        <is>
          <t>India</t>
        </is>
      </c>
      <c r="E61" t="inlineStr">
        <is>
          <t>Sales Manager</t>
        </is>
      </c>
      <c r="F61" t="inlineStr">
        <is>
          <t>Vinayak Rajhans</t>
        </is>
      </c>
      <c r="G61" s="2">
        <f>HYPERLINK("https://in.linkedin.com/in/vinayak-rajhans-719608232?trk=people-guest_people_search-card", "https://in.linkedin.com/in/vinayak-rajhans-719608232?trk=people-guest_people_search-card")</f>
        <v/>
      </c>
    </row>
    <row r="62">
      <c r="A62" t="inlineStr">
        <is>
          <t>Steel Strips Wheels Limited</t>
        </is>
      </c>
      <c r="B62" s="2">
        <f>HYPERLINK("https://sswlindia.com", "https://sswlindia.com")</f>
        <v/>
      </c>
      <c r="C62" s="2">
        <f>HYPERLINK("https://www.linkedin.com/company/steel-strips-wheels-limited", "https://www.linkedin.com/company/steel-strips-wheels-limited")</f>
        <v/>
      </c>
      <c r="D62" t="inlineStr">
        <is>
          <t>India</t>
        </is>
      </c>
      <c r="E62" t="inlineStr">
        <is>
          <t>Deputy Managing Director at Steel Strips Wheels Limited</t>
        </is>
      </c>
      <c r="F62" t="inlineStr">
        <is>
          <t>Mohan Joshi</t>
        </is>
      </c>
      <c r="G62" s="2">
        <f>HYPERLINK("https://in.linkedin.com/in/mohan-joshi-44290a218", "https://in.linkedin.com/in/mohan-joshi-44290a218")</f>
        <v/>
      </c>
    </row>
    <row r="63">
      <c r="A63" t="inlineStr">
        <is>
          <t>Steel Strips Wheels Limited</t>
        </is>
      </c>
      <c r="B63" s="2">
        <f>HYPERLINK("https://sswlindia.com", "https://sswlindia.com")</f>
        <v/>
      </c>
      <c r="C63" s="2">
        <f>HYPERLINK("https://www.linkedin.com/company/steel-strips-wheels-limited", "https://www.linkedin.com/company/steel-strips-wheels-limited")</f>
        <v/>
      </c>
      <c r="D63" t="inlineStr">
        <is>
          <t>India</t>
        </is>
      </c>
      <c r="E63" t="inlineStr">
        <is>
          <t>General Manager at Steel Strips Wheels Ltd</t>
        </is>
      </c>
      <c r="F63" t="inlineStr">
        <is>
          <t>Rajul Jain</t>
        </is>
      </c>
      <c r="G63" s="2">
        <f>HYPERLINK("https://in.linkedin.com/in/rajul-jain-bb094628", "https://in.linkedin.com/in/rajul-jain-bb094628")</f>
        <v/>
      </c>
    </row>
    <row r="64">
      <c r="A64" t="inlineStr">
        <is>
          <t>Steel Strips Wheels Limited</t>
        </is>
      </c>
      <c r="B64" s="2">
        <f>HYPERLINK("https://sswlindia.com", "https://sswlindia.com")</f>
        <v/>
      </c>
      <c r="C64" s="2">
        <f>HYPERLINK("https://www.linkedin.com/company/steel-strips-wheels-limited", "https://www.linkedin.com/company/steel-strips-wheels-limited")</f>
        <v/>
      </c>
      <c r="D64" t="inlineStr">
        <is>
          <t>India</t>
        </is>
      </c>
      <c r="E64" t="inlineStr">
        <is>
          <t>Vice President Manufacturing</t>
        </is>
      </c>
      <c r="F64" t="inlineStr">
        <is>
          <t>Rajith M K</t>
        </is>
      </c>
      <c r="G64" s="2">
        <f>HYPERLINK("https://in.linkedin.com/in/rajith-m-k-263b5565", "https://in.linkedin.com/in/rajith-m-k-263b5565")</f>
        <v/>
      </c>
    </row>
    <row r="65">
      <c r="A65" t="inlineStr">
        <is>
          <t>Steel Strips Wheels Limited</t>
        </is>
      </c>
      <c r="B65" s="2">
        <f>HYPERLINK("https://sswlindia.com", "https://sswlindia.com")</f>
        <v/>
      </c>
      <c r="C65" s="2">
        <f>HYPERLINK("https://www.linkedin.com/company/steel-strips-wheels-limited", "https://www.linkedin.com/company/steel-strips-wheels-limited")</f>
        <v/>
      </c>
      <c r="D65" t="inlineStr">
        <is>
          <t>India</t>
        </is>
      </c>
      <c r="E65" t="inlineStr">
        <is>
          <t>GM (Manufacturing)</t>
        </is>
      </c>
      <c r="F65" t="inlineStr">
        <is>
          <t>Rajeev Mehta</t>
        </is>
      </c>
      <c r="G65" s="2">
        <f>HYPERLINK("https://in.linkedin.com/in/rajeev-mehta-04685aa0", "https://in.linkedin.com/in/rajeev-mehta-04685aa0")</f>
        <v/>
      </c>
    </row>
    <row r="66">
      <c r="A66" t="inlineStr">
        <is>
          <t>Steel Strips Wheels Limited</t>
        </is>
      </c>
      <c r="B66" s="2">
        <f>HYPERLINK("https://sswlindia.com", "https://sswlindia.com")</f>
        <v/>
      </c>
      <c r="C66" s="2">
        <f>HYPERLINK("https://www.linkedin.com/company/steel-strips-wheels-limited", "https://www.linkedin.com/company/steel-strips-wheels-limited")</f>
        <v/>
      </c>
      <c r="D66" t="inlineStr">
        <is>
          <t>India</t>
        </is>
      </c>
      <c r="E66" t="inlineStr">
        <is>
          <t>Senior Executive Director, Steel Strips Wheels Limited</t>
        </is>
      </c>
      <c r="F66" t="inlineStr">
        <is>
          <t>Rajesh Trikha</t>
        </is>
      </c>
      <c r="G66" s="2">
        <f>HYPERLINK("https://in.linkedin.com/in/rajesh-trikha-a16324269", "https://in.linkedin.com/in/rajesh-trikha-a16324269")</f>
        <v/>
      </c>
    </row>
    <row r="67">
      <c r="A67" t="inlineStr">
        <is>
          <t>Steel Strips Wheels Limited</t>
        </is>
      </c>
      <c r="B67" s="2">
        <f>HYPERLINK("https://sswlindia.com", "https://sswlindia.com")</f>
        <v/>
      </c>
      <c r="C67" s="2">
        <f>HYPERLINK("https://www.linkedin.com/company/steel-strips-wheels-limited", "https://www.linkedin.com/company/steel-strips-wheels-limited")</f>
        <v/>
      </c>
      <c r="D67" t="inlineStr">
        <is>
          <t>India</t>
        </is>
      </c>
      <c r="E67" t="inlineStr">
        <is>
          <t>Deputy General Manager - Commercial, Steel Strips Wheels Limited</t>
        </is>
      </c>
      <c r="F67" t="inlineStr">
        <is>
          <t>Sajeev V</t>
        </is>
      </c>
      <c r="G67" s="2">
        <f>HYPERLINK("https://in.linkedin.com/in/sajeev-v-b9643b267", "https://in.linkedin.com/in/sajeev-v-b9643b267")</f>
        <v/>
      </c>
    </row>
    <row r="68">
      <c r="A68" t="inlineStr">
        <is>
          <t>Steel Strips Wheels Limited</t>
        </is>
      </c>
      <c r="B68" s="2">
        <f>HYPERLINK("https://sswlindia.com", "https://sswlindia.com")</f>
        <v/>
      </c>
      <c r="C68" s="2">
        <f>HYPERLINK("https://www.linkedin.com/company/steel-strips-wheels-limited", "https://www.linkedin.com/company/steel-strips-wheels-limited")</f>
        <v/>
      </c>
      <c r="D68" t="inlineStr">
        <is>
          <t>India</t>
        </is>
      </c>
      <c r="E68" t="inlineStr">
        <is>
          <t>Executive Director - International Marketing &amp; Operations, Steel Strips Wheels Limited</t>
        </is>
      </c>
      <c r="F68" t="inlineStr">
        <is>
          <t>Aditya Dixit</t>
        </is>
      </c>
      <c r="G68" s="2">
        <f>HYPERLINK("https://in.linkedin.com/in/aditya-dixit-60525116", "https://in.linkedin.com/in/aditya-dixit-60525116")</f>
        <v/>
      </c>
    </row>
    <row r="69">
      <c r="A69" t="inlineStr">
        <is>
          <t>Steel Strips Wheels Limited</t>
        </is>
      </c>
      <c r="B69" s="2">
        <f>HYPERLINK("https://sswlindia.com", "https://sswlindia.com")</f>
        <v/>
      </c>
      <c r="C69" s="2">
        <f>HYPERLINK("https://www.linkedin.com/company/steel-strips-wheels-limited", "https://www.linkedin.com/company/steel-strips-wheels-limited")</f>
        <v/>
      </c>
      <c r="D69" t="inlineStr">
        <is>
          <t>India</t>
        </is>
      </c>
      <c r="E69" t="inlineStr">
        <is>
          <t>Executive Director - Corporate, Steel Strips Wheels Limited</t>
        </is>
      </c>
      <c r="F69" t="inlineStr">
        <is>
          <t>Sanjeev Singh Raghuvanshi</t>
        </is>
      </c>
      <c r="G69" s="2">
        <f>HYPERLINK("https://in.linkedin.com/in/sanjeev-singh-raghuvanshi-82425310", "https://in.linkedin.com/in/sanjeev-singh-raghuvanshi-82425310")</f>
        <v/>
      </c>
    </row>
    <row r="70">
      <c r="A70" t="inlineStr">
        <is>
          <t>Steel Strips Wheels Limited</t>
        </is>
      </c>
      <c r="B70" s="2">
        <f>HYPERLINK("https://sswlindia.com", "https://sswlindia.com")</f>
        <v/>
      </c>
      <c r="C70" s="2">
        <f>HYPERLINK("https://www.linkedin.com/company/steel-strips-wheels-limited", "https://www.linkedin.com/company/steel-strips-wheels-limited")</f>
        <v/>
      </c>
      <c r="D70" t="inlineStr">
        <is>
          <t>India</t>
        </is>
      </c>
      <c r="E70" t="inlineStr">
        <is>
          <t>Senior Executive Director, Steel Strips Wheels Limited</t>
        </is>
      </c>
      <c r="F70" t="inlineStr">
        <is>
          <t>Sushil Gupta</t>
        </is>
      </c>
      <c r="G70" s="2">
        <f>HYPERLINK("https://in.linkedin.com/in/sushil-gupta-5115141a", "https://in.linkedin.com/in/sushil-gupta-5115141a")</f>
        <v/>
      </c>
    </row>
    <row r="71">
      <c r="A71" t="inlineStr">
        <is>
          <t>Steel Strips Wheels Limited</t>
        </is>
      </c>
      <c r="B71" s="2">
        <f>HYPERLINK("https://sswlindia.com", "https://sswlindia.com")</f>
        <v/>
      </c>
      <c r="C71" s="2">
        <f>HYPERLINK("https://www.linkedin.com/company/steel-strips-wheels-limited", "https://www.linkedin.com/company/steel-strips-wheels-limited")</f>
        <v/>
      </c>
      <c r="D71" t="inlineStr">
        <is>
          <t>India</t>
        </is>
      </c>
      <c r="E71" t="inlineStr">
        <is>
          <t>Executive Director, Steel Strips Wheels Limited</t>
        </is>
      </c>
      <c r="F71" t="inlineStr">
        <is>
          <t>Ravinder Rarora</t>
        </is>
      </c>
      <c r="G71" s="2">
        <f>HYPERLINK("https://in.linkedin.com/in/ravinder-rarora-b7a16312", "https://in.linkedin.com/in/ravinder-rarora-b7a16312")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2026-08-04T08:06:24Z</dcterms:created>
  <dcterms:modified xmlns:dcterms="http://purl.org/dc/terms/" xmlns:xsi="http://www.w3.org/2001/XMLSchema-instance" xsi:type="dcterms:W3CDTF">2026-08-04T08:06:24Z</dcterms:modified>
</cp:coreProperties>
</file>