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color rgb="000563C1"/>
      <u val="single"/>
    </font>
    <font>
      <b val="1"/>
      <color rgb="000F5132"/>
    </font>
    <font>
      <name val="Arial"/>
      <b val="1"/>
      <color rgb="00FFFFFF"/>
      <sz val="12"/>
    </font>
    <font>
      <name val="Arial"/>
      <b val="1"/>
      <color rgb="002F5496"/>
      <sz val="10"/>
    </font>
    <font>
      <name val="Arial"/>
      <sz val="10"/>
    </font>
    <font>
      <name val="Arial"/>
      <color rgb="000563C1"/>
      <sz val="10"/>
      <u val="single"/>
    </font>
  </fonts>
  <fills count="7">
    <fill>
      <patternFill/>
    </fill>
    <fill>
      <patternFill patternType="gray125"/>
    </fill>
    <fill>
      <patternFill patternType="solid">
        <fgColor rgb="001F2937"/>
        <bgColor rgb="001F2937"/>
      </patternFill>
    </fill>
    <fill>
      <patternFill patternType="solid">
        <fgColor rgb="00D1E7DD"/>
        <bgColor rgb="00D1E7DD"/>
      </patternFill>
    </fill>
    <fill>
      <patternFill patternType="solid">
        <fgColor rgb="002F5496"/>
      </patternFill>
    </fill>
    <fill>
      <patternFill patternType="solid">
        <fgColor rgb="00D6E4F0"/>
      </patternFill>
    </fill>
    <fill>
      <patternFill patternType="solid">
        <fgColor rgb="00F2F2F2"/>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0" fillId="4" borderId="1" pivotButton="0" quotePrefix="0" xfId="0"/>
    <xf numFmtId="0" fontId="5" fillId="5"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vertical="center" wrapText="1"/>
    </xf>
    <xf numFmtId="0" fontId="7" fillId="0" borderId="1" applyAlignment="1" pivotButton="0" quotePrefix="0" xfId="0">
      <alignment vertical="center" wrapText="1"/>
    </xf>
    <xf numFmtId="0" fontId="6" fillId="6" borderId="1" applyAlignment="1" pivotButton="0" quotePrefix="0" xfId="0">
      <alignment horizontal="center" vertical="center"/>
    </xf>
    <xf numFmtId="0" fontId="6" fillId="6" borderId="1" applyAlignment="1" pivotButton="0" quotePrefix="0" xfId="0">
      <alignment vertical="center" wrapText="1"/>
    </xf>
    <xf numFmtId="0" fontId="7"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n.linkedin.com/in/saumya-engineer-6a8803206" TargetMode="External" Id="rId1"/><Relationship Type="http://schemas.openxmlformats.org/officeDocument/2006/relationships/hyperlink" Target="https://www.linkedin.com/company/astralpipesofficial" TargetMode="External" Id="rId2"/><Relationship Type="http://schemas.openxmlformats.org/officeDocument/2006/relationships/hyperlink" Target="https://in.linkedin.com/in/vikas-sharma-20970921" TargetMode="External" Id="rId3"/><Relationship Type="http://schemas.openxmlformats.org/officeDocument/2006/relationships/hyperlink" Target="https://www.linkedin.com/company/astralpipesofficial" TargetMode="External" Id="rId4"/><Relationship Type="http://schemas.openxmlformats.org/officeDocument/2006/relationships/hyperlink" Target="https://in.linkedin.com/in/jitendra-asopa-0b22992b" TargetMode="External" Id="rId5"/><Relationship Type="http://schemas.openxmlformats.org/officeDocument/2006/relationships/hyperlink" Target="https://www.linkedin.com/company/astralpipesofficial" TargetMode="External" Id="rId6"/><Relationship Type="http://schemas.openxmlformats.org/officeDocument/2006/relationships/hyperlink" Target="https://in.linkedin.com/in/kairav-engineer-79682530" TargetMode="External" Id="rId7"/><Relationship Type="http://schemas.openxmlformats.org/officeDocument/2006/relationships/hyperlink" Target="https://www.linkedin.com/company/astralpipesofficial" TargetMode="External" Id="rId8"/><Relationship Type="http://schemas.openxmlformats.org/officeDocument/2006/relationships/hyperlink" Target="https://in.linkedin.com/in/hiranand-savlani-816b994b" TargetMode="External" Id="rId9"/><Relationship Type="http://schemas.openxmlformats.org/officeDocument/2006/relationships/hyperlink" Target="https://www.linkedin.com/company/astralpipesofficial" TargetMode="External" Id="rId10"/><Relationship Type="http://schemas.openxmlformats.org/officeDocument/2006/relationships/hyperlink" Target="https://in.linkedin.com/in/vikashjha83" TargetMode="External" Id="rId11"/><Relationship Type="http://schemas.openxmlformats.org/officeDocument/2006/relationships/hyperlink" Target="https://www.linkedin.com/company/astralpipesofficial" TargetMode="External" Id="rId12"/><Relationship Type="http://schemas.openxmlformats.org/officeDocument/2006/relationships/hyperlink" Target="https://in.linkedin.com/in/viral-mankodi-6642a06" TargetMode="External" Id="rId13"/><Relationship Type="http://schemas.openxmlformats.org/officeDocument/2006/relationships/hyperlink" Target="https://www.linkedin.com/company/astralpipesofficial" TargetMode="External" Id="rId14"/><Relationship Type="http://schemas.openxmlformats.org/officeDocument/2006/relationships/hyperlink" Target="https://in.linkedin.com/in/mithun-chittilappilly-6834a2197" TargetMode="External" Id="rId15"/><Relationship Type="http://schemas.openxmlformats.org/officeDocument/2006/relationships/hyperlink" Target="https://www.linkedin.com/company/v-guard" TargetMode="External" Id="rId16"/><Relationship Type="http://schemas.openxmlformats.org/officeDocument/2006/relationships/hyperlink" Target="https://in.linkedin.com/in/ramachandranvenketaraman" TargetMode="External" Id="rId17"/><Relationship Type="http://schemas.openxmlformats.org/officeDocument/2006/relationships/hyperlink" Target="https://www.linkedin.com/company/v-guard" TargetMode="External" Id="rId18"/><Relationship Type="http://schemas.openxmlformats.org/officeDocument/2006/relationships/hyperlink" Target="https://in.linkedin.com/in/remya-ann-jose-82627521" TargetMode="External" Id="rId19"/><Relationship Type="http://schemas.openxmlformats.org/officeDocument/2006/relationships/hyperlink" Target="https://www.linkedin.com/company/v-guard" TargetMode="External" Id="rId20"/><Relationship Type="http://schemas.openxmlformats.org/officeDocument/2006/relationships/hyperlink" Target="https://in.linkedin.com/in/sundaresh-holla-58042716" TargetMode="External" Id="rId21"/><Relationship Type="http://schemas.openxmlformats.org/officeDocument/2006/relationships/hyperlink" Target="https://www.linkedin.com/company/v-guard" TargetMode="External" Id="rId22"/><Relationship Type="http://schemas.openxmlformats.org/officeDocument/2006/relationships/hyperlink" Target="https://in.linkedin.com/in/kapil-sharma-06950235" TargetMode="External" Id="rId23"/><Relationship Type="http://schemas.openxmlformats.org/officeDocument/2006/relationships/hyperlink" Target="https://www.linkedin.com/company/v-guard" TargetMode="External" Id="rId24"/><Relationship Type="http://schemas.openxmlformats.org/officeDocument/2006/relationships/hyperlink" Target="https://in.linkedin.com/in/vikash-srivastava-2605b0181" TargetMode="External" Id="rId25"/><Relationship Type="http://schemas.openxmlformats.org/officeDocument/2006/relationships/hyperlink" Target="https://www.linkedin.com/company/v-guard" TargetMode="External" Id="rId26"/><Relationship Type="http://schemas.openxmlformats.org/officeDocument/2006/relationships/hyperlink" Target="https://in.linkedin.com/in/dr-ramesh-s-569150223" TargetMode="External" Id="rId27"/><Relationship Type="http://schemas.openxmlformats.org/officeDocument/2006/relationships/hyperlink" Target="https://www.linkedin.com/company/sundram-fasteners" TargetMode="External" Id="rId28"/><Relationship Type="http://schemas.openxmlformats.org/officeDocument/2006/relationships/hyperlink" Target="https://in.linkedin.com/in/anbarasan-vaithiyanathan-45414343" TargetMode="External" Id="rId29"/><Relationship Type="http://schemas.openxmlformats.org/officeDocument/2006/relationships/hyperlink" Target="https://www.linkedin.com/company/sundram-fasteners" TargetMode="External" Id="rId30"/><Relationship Type="http://schemas.openxmlformats.org/officeDocument/2006/relationships/hyperlink" Target="https://in.linkedin.com/in/m-thyagarajan-30360724" TargetMode="External" Id="rId31"/><Relationship Type="http://schemas.openxmlformats.org/officeDocument/2006/relationships/hyperlink" Target="https://www.linkedin.com/company/sundram-fasteners" TargetMode="External" Id="rId32"/><Relationship Type="http://schemas.openxmlformats.org/officeDocument/2006/relationships/hyperlink" Target="https://in.linkedin.com/in/harihara-subramanian-pr-b70716108" TargetMode="External" Id="rId33"/><Relationship Type="http://schemas.openxmlformats.org/officeDocument/2006/relationships/hyperlink" Target="https://www.linkedin.com/company/sundram-fasteners" TargetMode="External" Id="rId34"/><Relationship Type="http://schemas.openxmlformats.org/officeDocument/2006/relationships/hyperlink" Target="https://in.linkedin.com/in/p-padmanabhan-45b11bb" TargetMode="External" Id="rId35"/><Relationship Type="http://schemas.openxmlformats.org/officeDocument/2006/relationships/hyperlink" Target="https://www.linkedin.com/company/sundram-fasteners" TargetMode="External" Id="rId36"/><Relationship Type="http://schemas.openxmlformats.org/officeDocument/2006/relationships/hyperlink" Target="https://in.linkedin.com/in/dr-sivaraman-arjunan-a7006818" TargetMode="External" Id="rId37"/><Relationship Type="http://schemas.openxmlformats.org/officeDocument/2006/relationships/hyperlink" Target="https://www.linkedin.com/company/sundram-fasteners" TargetMode="External" Id="rId38"/><Relationship Type="http://schemas.openxmlformats.org/officeDocument/2006/relationships/hyperlink" Target="https://in.linkedin.com/in/santhoshkumar-krishnamurthy-b9778733" TargetMode="External" Id="rId39"/><Relationship Type="http://schemas.openxmlformats.org/officeDocument/2006/relationships/hyperlink" Target="https://www.linkedin.com/company/sundram-fasteners" TargetMode="External" Id="rId40"/><Relationship Type="http://schemas.openxmlformats.org/officeDocument/2006/relationships/hyperlink" Target="https://in.linkedin.com/in/sanjay-rusia-85a45442" TargetMode="External" Id="rId41"/><Relationship Type="http://schemas.openxmlformats.org/officeDocument/2006/relationships/hyperlink" Target="https://www.linkedin.com/company/jbm-group" TargetMode="External" Id="rId42"/><Relationship Type="http://schemas.openxmlformats.org/officeDocument/2006/relationships/hyperlink" Target="https://in.linkedin.com/in/rajiv-sahdev-7a436410" TargetMode="External" Id="rId43"/><Relationship Type="http://schemas.openxmlformats.org/officeDocument/2006/relationships/hyperlink" Target="https://www.linkedin.com/company/jbm-group" TargetMode="External" Id="rId44"/><Relationship Type="http://schemas.openxmlformats.org/officeDocument/2006/relationships/hyperlink" Target="https://in.linkedin.com/in/dhiraj-mohan-74958411" TargetMode="External" Id="rId45"/><Relationship Type="http://schemas.openxmlformats.org/officeDocument/2006/relationships/hyperlink" Target="https://www.linkedin.com/company/jbm-group" TargetMode="External" Id="rId46"/><Relationship Type="http://schemas.openxmlformats.org/officeDocument/2006/relationships/hyperlink" Target="https://in.linkedin.com/in/sanjay-bassi-985452139" TargetMode="External" Id="rId47"/><Relationship Type="http://schemas.openxmlformats.org/officeDocument/2006/relationships/hyperlink" Target="https://www.linkedin.com/company/jbm-group" TargetMode="External" Id="rId48"/><Relationship Type="http://schemas.openxmlformats.org/officeDocument/2006/relationships/hyperlink" Target="https://in.linkedin.com/in/prabhat-dhusiya-07255258" TargetMode="External" Id="rId49"/><Relationship Type="http://schemas.openxmlformats.org/officeDocument/2006/relationships/hyperlink" Target="https://www.linkedin.com/company/jbm-group" TargetMode="External" Id="rId50"/><Relationship Type="http://schemas.openxmlformats.org/officeDocument/2006/relationships/hyperlink" Target="https://in.linkedin.com/in/shubhra-sahay-19017ba" TargetMode="External" Id="rId51"/><Relationship Type="http://schemas.openxmlformats.org/officeDocument/2006/relationships/hyperlink" Target="https://www.linkedin.com/company/jbm-group" TargetMode="External" Id="rId52"/><Relationship Type="http://schemas.openxmlformats.org/officeDocument/2006/relationships/hyperlink" Target="https://in.linkedin.com/in/ashok-minda-083671229" TargetMode="External" Id="rId53"/><Relationship Type="http://schemas.openxmlformats.org/officeDocument/2006/relationships/hyperlink" Target="https://www.linkedin.com/company/sparkminda" TargetMode="External" Id="rId54"/><Relationship Type="http://schemas.openxmlformats.org/officeDocument/2006/relationships/hyperlink" Target="https://in.linkedin.com/in/sunil-goel-4b275b24" TargetMode="External" Id="rId55"/><Relationship Type="http://schemas.openxmlformats.org/officeDocument/2006/relationships/hyperlink" Target="https://www.linkedin.com/company/sparkminda" TargetMode="External" Id="rId56"/><Relationship Type="http://schemas.openxmlformats.org/officeDocument/2006/relationships/hyperlink" Target="https://in.linkedin.com/in/vaikuntam-srinivasan-a6a07910" TargetMode="External" Id="rId57"/><Relationship Type="http://schemas.openxmlformats.org/officeDocument/2006/relationships/hyperlink" Target="https://www.linkedin.com/company/sparkminda" TargetMode="External" Id="rId58"/><Relationship Type="http://schemas.openxmlformats.org/officeDocument/2006/relationships/hyperlink" Target="https://in.linkedin.com/in/dr-suresh-d-402a6229" TargetMode="External" Id="rId59"/><Relationship Type="http://schemas.openxmlformats.org/officeDocument/2006/relationships/hyperlink" Target="https://www.linkedin.com/company/sparkminda" TargetMode="External" Id="rId60"/><Relationship Type="http://schemas.openxmlformats.org/officeDocument/2006/relationships/hyperlink" Target="https://in.linkedin.com/in/sumit-doseja-80442016" TargetMode="External" Id="rId61"/><Relationship Type="http://schemas.openxmlformats.org/officeDocument/2006/relationships/hyperlink" Target="https://www.linkedin.com/company/sparkminda" TargetMode="External" Id="rId62"/><Relationship Type="http://schemas.openxmlformats.org/officeDocument/2006/relationships/hyperlink" Target="https://in.linkedin.com/in/aakash-minda-638a1121" TargetMode="External" Id="rId63"/><Relationship Type="http://schemas.openxmlformats.org/officeDocument/2006/relationships/hyperlink" Target="https://www.linkedin.com/company/sparkminda" TargetMode="External" Id="rId64"/><Relationship Type="http://schemas.openxmlformats.org/officeDocument/2006/relationships/hyperlink" Target="https://in.linkedin.com/in/joy-p-panda-58475351" TargetMode="External" Id="rId65"/><Relationship Type="http://schemas.openxmlformats.org/officeDocument/2006/relationships/hyperlink" Target="https://www.linkedin.com/company/sparkminda" TargetMode="External" Id="rId66"/><Relationship Type="http://schemas.openxmlformats.org/officeDocument/2006/relationships/hyperlink" Target="https://in.linkedin.com/in/anup-gupta-652805135" TargetMode="External" Id="rId67"/><Relationship Type="http://schemas.openxmlformats.org/officeDocument/2006/relationships/hyperlink" Target="https://www.linkedin.com/company/sparkminda" TargetMode="External" Id="rId68"/><Relationship Type="http://schemas.openxmlformats.org/officeDocument/2006/relationships/hyperlink" Target="https://in.linkedin.com/in/nimesh-kapoor-3156548b" TargetMode="External" Id="rId69"/><Relationship Type="http://schemas.openxmlformats.org/officeDocument/2006/relationships/hyperlink" Target="https://www.linkedin.com/company/rr-sharamik" TargetMode="External" Id="rId70"/><Relationship Type="http://schemas.openxmlformats.org/officeDocument/2006/relationships/hyperlink" Target="https://in.linkedin.com/in/vijay-chandak-ramrat-chandak-ramratna-385169162" TargetMode="External" Id="rId71"/><Relationship Type="http://schemas.openxmlformats.org/officeDocument/2006/relationships/hyperlink" Target="https://www.linkedin.com/company/rr-sharamik" TargetMode="External" Id="rId72"/><Relationship Type="http://schemas.openxmlformats.org/officeDocument/2006/relationships/hyperlink" Target="https://in.linkedin.com/in/rdchandak" TargetMode="External" Id="rId73"/><Relationship Type="http://schemas.openxmlformats.org/officeDocument/2006/relationships/hyperlink" Target="https://www.linkedin.com/company/rr-sharamik" TargetMode="External" Id="rId74"/><Relationship Type="http://schemas.openxmlformats.org/officeDocument/2006/relationships/hyperlink" Target="https://in.linkedin.com/in/vijay-l-chandak-aa81534a" TargetMode="External" Id="rId75"/><Relationship Type="http://schemas.openxmlformats.org/officeDocument/2006/relationships/hyperlink" Target="https://www.linkedin.com/company/rr-sharamik" TargetMode="External" Id="rId76"/><Relationship Type="http://schemas.openxmlformats.org/officeDocument/2006/relationships/hyperlink" Target="https://in.linkedin.com/in/sunil-kumar-singh-ba25b436" TargetMode="External" Id="rId77"/><Relationship Type="http://schemas.openxmlformats.org/officeDocument/2006/relationships/hyperlink" Target="https://www.linkedin.com/company/rr-sharamik" TargetMode="External" Id="rId78"/><Relationship Type="http://schemas.openxmlformats.org/officeDocument/2006/relationships/hyperlink" Target="https://in.linkedin.com/in/subhashish-ghosh-95231125" TargetMode="External" Id="rId79"/><Relationship Type="http://schemas.openxmlformats.org/officeDocument/2006/relationships/hyperlink" Target="https://www.linkedin.com/company/rr-sharamik" TargetMode="External" Id="rId80"/><Relationship Type="http://schemas.openxmlformats.org/officeDocument/2006/relationships/hyperlink" Target="https://in.linkedin.com/in/jigar-vaghela-86483b343" TargetMode="External" Id="rId81"/><Relationship Type="http://schemas.openxmlformats.org/officeDocument/2006/relationships/hyperlink" Target="https://www.linkedin.com/company/rr-sharamik" TargetMode="External" Id="rId82"/><Relationship Type="http://schemas.openxmlformats.org/officeDocument/2006/relationships/hyperlink" Target="https://in.linkedin.com/in/dr-p-a-padmanabhan-7247b61b" TargetMode="External" Id="rId83"/><Relationship Type="http://schemas.openxmlformats.org/officeDocument/2006/relationships/hyperlink" Target="https://www.linkedin.com/company/rane-holdings-limited" TargetMode="External" Id="rId84"/><Relationship Type="http://schemas.openxmlformats.org/officeDocument/2006/relationships/hyperlink" Target="https://www.linkedin.com/in/madhusudan-devarajan-6a63882b" TargetMode="External" Id="rId85"/><Relationship Type="http://schemas.openxmlformats.org/officeDocument/2006/relationships/hyperlink" Target="https://www.linkedin.com/company/rane-holdings-limited" TargetMode="External" Id="rId86"/><Relationship Type="http://schemas.openxmlformats.org/officeDocument/2006/relationships/hyperlink" Target="https://in.linkedin.com/in/rajesh-raghavan-900b8710" TargetMode="External" Id="rId87"/><Relationship Type="http://schemas.openxmlformats.org/officeDocument/2006/relationships/hyperlink" Target="https://www.linkedin.com/company/rane-holdings-limited" TargetMode="External" Id="rId88"/><Relationship Type="http://schemas.openxmlformats.org/officeDocument/2006/relationships/hyperlink" Target="https://in.linkedin.com/in/sridhar-subramanian-178a8215b" TargetMode="External" Id="rId89"/><Relationship Type="http://schemas.openxmlformats.org/officeDocument/2006/relationships/hyperlink" Target="https://www.linkedin.com/company/rane-holdings-limited" TargetMode="External" Id="rId90"/><Relationship Type="http://schemas.openxmlformats.org/officeDocument/2006/relationships/hyperlink" Target="https://in.linkedin.com/in/harish-lakshman-51b0302" TargetMode="External" Id="rId91"/><Relationship Type="http://schemas.openxmlformats.org/officeDocument/2006/relationships/hyperlink" Target="https://www.linkedin.com/company/rane-holdings-limited" TargetMode="External" Id="rId92"/><Relationship Type="http://schemas.openxmlformats.org/officeDocument/2006/relationships/hyperlink" Target="https://in.linkedin.com/in/ramesh-r-6460941a0" TargetMode="External" Id="rId93"/><Relationship Type="http://schemas.openxmlformats.org/officeDocument/2006/relationships/hyperlink" Target="https://www.linkedin.com/company/rane-holdings-limited" TargetMode="External" Id="rId94"/><Relationship Type="http://schemas.openxmlformats.org/officeDocument/2006/relationships/hyperlink" Target="https://in.linkedin.com/in/nikita-agarwal-bansal" TargetMode="External" Id="rId95"/><Relationship Type="http://schemas.openxmlformats.org/officeDocument/2006/relationships/hyperlink" Target="https://www.linkedin.com/company/century-plyboards-limited" TargetMode="External" Id="rId96"/><Relationship Type="http://schemas.openxmlformats.org/officeDocument/2006/relationships/hyperlink" Target="https://in.linkedin.com/in/rakesh-tiga-6b747215" TargetMode="External" Id="rId97"/><Relationship Type="http://schemas.openxmlformats.org/officeDocument/2006/relationships/hyperlink" Target="https://www.linkedin.com/company/century-plyboards-limited" TargetMode="External" Id="rId98"/><Relationship Type="http://schemas.openxmlformats.org/officeDocument/2006/relationships/hyperlink" Target="https://in.linkedin.com/in/sanjay-agarwal-b9504523" TargetMode="External" Id="rId99"/><Relationship Type="http://schemas.openxmlformats.org/officeDocument/2006/relationships/hyperlink" Target="https://www.linkedin.com/company/century-plyboards-limited" TargetMode="External" Id="rId100"/><Relationship Type="http://schemas.openxmlformats.org/officeDocument/2006/relationships/hyperlink" Target="https://in.linkedin.com/in/navarunsen41" TargetMode="External" Id="rId101"/><Relationship Type="http://schemas.openxmlformats.org/officeDocument/2006/relationships/hyperlink" Target="https://www.linkedin.com/company/century-plyboards-limited" TargetMode="External" Id="rId102"/><Relationship Type="http://schemas.openxmlformats.org/officeDocument/2006/relationships/hyperlink" Target="https://in.linkedin.com/in/naveen-lohia-10408711" TargetMode="External" Id="rId103"/><Relationship Type="http://schemas.openxmlformats.org/officeDocument/2006/relationships/hyperlink" Target="https://www.linkedin.com/company/century-plyboards-limited" TargetMode="External" Id="rId104"/><Relationship Type="http://schemas.openxmlformats.org/officeDocument/2006/relationships/hyperlink" Target="https://in.linkedin.com/in/mousumi-pal-sengupta-a5206818" TargetMode="External" Id="rId105"/><Relationship Type="http://schemas.openxmlformats.org/officeDocument/2006/relationships/hyperlink" Target="https://www.linkedin.com/company/century-plyboards-limited" TargetMode="External" Id="rId106"/><Relationship Type="http://schemas.openxmlformats.org/officeDocument/2006/relationships/hyperlink" Target="https://in.linkedin.com/in/kanand1" TargetMode="External" Id="rId107"/><Relationship Type="http://schemas.openxmlformats.org/officeDocument/2006/relationships/hyperlink" Target="https://www.linkedin.com/company/century-plyboards-limited" TargetMode="External" Id="rId108"/><Relationship Type="http://schemas.openxmlformats.org/officeDocument/2006/relationships/hyperlink" Target="https://in.linkedin.com/in/venkataramanan-v-69280465" TargetMode="External" Id="rId109"/><Relationship Type="http://schemas.openxmlformats.org/officeDocument/2006/relationships/hyperlink" Target="https://www.linkedin.com/company/wheelsindialimited" TargetMode="External" Id="rId110"/><Relationship Type="http://schemas.openxmlformats.org/officeDocument/2006/relationships/hyperlink" Target="https://in.linkedin.com/in/sridhar-raman-08787a19" TargetMode="External" Id="rId111"/><Relationship Type="http://schemas.openxmlformats.org/officeDocument/2006/relationships/hyperlink" Target="https://www.linkedin.com/company/wheelsindialimited" TargetMode="External" Id="rId112"/><Relationship Type="http://schemas.openxmlformats.org/officeDocument/2006/relationships/hyperlink" Target="https://in.linkedin.com/in/sanjay-pande-6232b039" TargetMode="External" Id="rId113"/><Relationship Type="http://schemas.openxmlformats.org/officeDocument/2006/relationships/hyperlink" Target="https://www.linkedin.com/company/wheelsindialimited" TargetMode="External" Id="rId114"/><Relationship Type="http://schemas.openxmlformats.org/officeDocument/2006/relationships/hyperlink" Target="https://in.linkedin.com/in/rajeev-kapoor-ba209935" TargetMode="External" Id="rId115"/><Relationship Type="http://schemas.openxmlformats.org/officeDocument/2006/relationships/hyperlink" Target="https://www.linkedin.com/company/wheelsindialimited" TargetMode="External" Id="rId116"/><Relationship Type="http://schemas.openxmlformats.org/officeDocument/2006/relationships/hyperlink" Target="https://in.linkedin.com/in/k-siva-raman-67247b8" TargetMode="External" Id="rId117"/><Relationship Type="http://schemas.openxmlformats.org/officeDocument/2006/relationships/hyperlink" Target="https://www.linkedin.com/company/wheelsindialimited" TargetMode="External" Id="rId118"/><Relationship Type="http://schemas.openxmlformats.org/officeDocument/2006/relationships/hyperlink" Target="https://in.linkedin.com/in/rajith-m-k-263b5565" TargetMode="External" Id="rId119"/><Relationship Type="http://schemas.openxmlformats.org/officeDocument/2006/relationships/hyperlink" Target="https://www.linkedin.com/company/steel-strips-wheels-limited" TargetMode="External" Id="rId120"/><Relationship Type="http://schemas.openxmlformats.org/officeDocument/2006/relationships/hyperlink" Target="https://in.linkedin.com/in/udaya-kumar-0134591b0" TargetMode="External" Id="rId121"/><Relationship Type="http://schemas.openxmlformats.org/officeDocument/2006/relationships/hyperlink" Target="https://www.linkedin.com/company/steel-strips-wheels-limited" TargetMode="External" Id="rId122"/><Relationship Type="http://schemas.openxmlformats.org/officeDocument/2006/relationships/hyperlink" Target="https://in.linkedin.com/in/sanjay-singh-3459a562" TargetMode="External" Id="rId123"/><Relationship Type="http://schemas.openxmlformats.org/officeDocument/2006/relationships/hyperlink" Target="https://www.linkedin.com/company/steel-strips-wheels-limited" TargetMode="External" Id="rId124"/><Relationship Type="http://schemas.openxmlformats.org/officeDocument/2006/relationships/hyperlink" Target="https://in.linkedin.com/in/rajesh-jindal-28635720" TargetMode="External" Id="rId125"/><Relationship Type="http://schemas.openxmlformats.org/officeDocument/2006/relationships/hyperlink" Target="https://www.linkedin.com/company/steel-strips-wheels-limited" TargetMode="External" Id="rId126"/><Relationship Type="http://schemas.openxmlformats.org/officeDocument/2006/relationships/hyperlink" Target="https://in.linkedin.com/in/mohan-joshi-44290a218" TargetMode="External" Id="rId127"/><Relationship Type="http://schemas.openxmlformats.org/officeDocument/2006/relationships/hyperlink" Target="https://www.linkedin.com/company/steel-strips-wheels-limited" TargetMode="External" Id="rId128"/><Relationship Type="http://schemas.openxmlformats.org/officeDocument/2006/relationships/hyperlink" Target="https://in.linkedin.com/in/jatinder-singh-09759217" TargetMode="External" Id="rId129"/><Relationship Type="http://schemas.openxmlformats.org/officeDocument/2006/relationships/hyperlink" Target="https://www.linkedin.com/company/steel-strips-wheels-limited" TargetMode="External" Id="rId130"/></Relationships>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20"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Astral Limited</t>
        </is>
      </c>
      <c r="B2" t="inlineStr">
        <is>
          <t>BSE:ASTRAL</t>
        </is>
      </c>
      <c r="C2" t="inlineStr">
        <is>
          <t>Miscellaneous Manufacturing</t>
        </is>
      </c>
      <c r="D2" t="n">
        <v>65686000000</v>
      </c>
      <c r="E2" t="n">
        <v>5366000000</v>
      </c>
      <c r="F2" t="n">
        <v>4899</v>
      </c>
      <c r="G2" t="inlineStr">
        <is>
          <t>Ahmedabad, India</t>
        </is>
      </c>
      <c r="H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I2" s="2">
        <f>HYPERLINK("https://astralltd.com", "https://astralltd.com")</f>
        <v/>
      </c>
      <c r="J2" s="2">
        <f>HYPERLINK("https://www.linkedin.com/company/astralpipesofficial", "https://www.linkedin.com/company/astralpipesofficial")</f>
        <v/>
      </c>
      <c r="K2" s="3" t="inlineStr">
        <is>
          <t>Verified</t>
        </is>
      </c>
    </row>
    <row r="3">
      <c r="A3" t="inlineStr">
        <is>
          <t>V-Guard Industries Limited</t>
        </is>
      </c>
      <c r="B3" t="inlineStr">
        <is>
          <t>NSE:VGUARD</t>
        </is>
      </c>
      <c r="C3" t="inlineStr">
        <is>
          <t>Electrical Products</t>
        </is>
      </c>
      <c r="D3" t="n">
        <v>63103500000</v>
      </c>
      <c r="E3" t="n">
        <v>3647300000</v>
      </c>
      <c r="F3" t="n">
        <v>3219</v>
      </c>
      <c r="G3" t="inlineStr">
        <is>
          <t>Kochi, India</t>
        </is>
      </c>
      <c r="H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I3" s="2">
        <f>HYPERLINK("https://www.vguard.in", "https://www.vguard.in")</f>
        <v/>
      </c>
      <c r="J3" s="2">
        <f>HYPERLINK("https://www.linkedin.com/company/v-guard", "https://www.linkedin.com/company/v-guard")</f>
        <v/>
      </c>
      <c r="K3" s="3" t="inlineStr">
        <is>
          <t>Verified</t>
        </is>
      </c>
    </row>
    <row r="4">
      <c r="A4" t="inlineStr">
        <is>
          <t>Sundram Fasteners Limited</t>
        </is>
      </c>
      <c r="B4" t="inlineStr">
        <is>
          <t>NSE:SUNDRMFAST</t>
        </is>
      </c>
      <c r="C4" t="inlineStr">
        <is>
          <t>Auto Parts: OEM</t>
        </is>
      </c>
      <c r="D4" t="n">
        <v>62888200000</v>
      </c>
      <c r="E4" t="n">
        <v>5911900000</v>
      </c>
      <c r="F4" t="n">
        <v>3108</v>
      </c>
      <c r="G4" t="inlineStr">
        <is>
          <t>Chennai, India</t>
        </is>
      </c>
      <c r="H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spokes and nipples, automobile kits, tools, dowel pins, small screws, cold extruded parts and other parts; and engages in information technology business providing enterprise solutions for core industries like manufacturing, automotive and distribution. Sundram Fasteners Limited was incorporated in 1962 and is headquartered in Chennai, India.</t>
        </is>
      </c>
      <c r="I4" s="2">
        <f>HYPERLINK("https://www.sundram.com", "https://www.sundram.com")</f>
        <v/>
      </c>
      <c r="J4" s="2">
        <f>HYPERLINK("https://www.linkedin.com/company/sundram-fasteners", "https://www.linkedin.com/company/sundram-fasteners")</f>
        <v/>
      </c>
      <c r="K4" s="3" t="inlineStr">
        <is>
          <t>Verified</t>
        </is>
      </c>
    </row>
    <row r="5">
      <c r="A5" t="inlineStr">
        <is>
          <t>JBM Auto Limited</t>
        </is>
      </c>
      <c r="B5" t="inlineStr">
        <is>
          <t>BSE:JBMA</t>
        </is>
      </c>
      <c r="C5" t="inlineStr">
        <is>
          <t>Auto Parts: OEM</t>
        </is>
      </c>
      <c r="D5" t="n">
        <v>62769400000</v>
      </c>
      <c r="E5" t="n">
        <v>2241800000</v>
      </c>
      <c r="F5" t="n">
        <v>3555</v>
      </c>
      <c r="G5" t="inlineStr">
        <is>
          <t>Gurugram, India</t>
        </is>
      </c>
      <c r="H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I5" s="2">
        <f>HYPERLINK("https://www.jbmgroup.com", "https://www.jbmgroup.com")</f>
        <v/>
      </c>
      <c r="J5" s="2">
        <f>HYPERLINK("https://www.linkedin.com/company/jbm-group", "https://www.linkedin.com/company/jbm-group")</f>
        <v/>
      </c>
      <c r="K5" s="3" t="inlineStr">
        <is>
          <t>Verified</t>
        </is>
      </c>
    </row>
    <row r="6">
      <c r="A6" t="inlineStr">
        <is>
          <t>Minda Corporation Limited</t>
        </is>
      </c>
      <c r="B6" t="inlineStr">
        <is>
          <t>BSE:MINDACORP</t>
        </is>
      </c>
      <c r="C6" t="inlineStr">
        <is>
          <t>Auto Parts: OEM</t>
        </is>
      </c>
      <c r="D6" t="n">
        <v>61853400000</v>
      </c>
      <c r="E6" t="n">
        <v>3602600000</v>
      </c>
      <c r="F6" t="n">
        <v>3405</v>
      </c>
      <c r="G6" t="inlineStr">
        <is>
          <t>Noida, India</t>
        </is>
      </c>
      <c r="H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I6" s="2">
        <f>HYPERLINK("https://sparkminda.com", "https://sparkminda.com")</f>
        <v/>
      </c>
      <c r="J6" s="2">
        <f>HYPERLINK("https://www.linkedin.com/company/sparkminda", "https://www.linkedin.com/company/sparkminda")</f>
        <v/>
      </c>
      <c r="K6" s="3" t="inlineStr">
        <is>
          <t>Verified</t>
        </is>
      </c>
    </row>
    <row r="7">
      <c r="A7" t="inlineStr">
        <is>
          <t>Ram Ratna Wires Limited</t>
        </is>
      </c>
      <c r="B7" t="inlineStr">
        <is>
          <t>BSE:RAMRAT</t>
        </is>
      </c>
      <c r="C7" t="inlineStr">
        <is>
          <t>Electrical Products</t>
        </is>
      </c>
      <c r="D7" t="n">
        <v>60474618000</v>
      </c>
      <c r="E7" t="n">
        <v>1268083000</v>
      </c>
      <c r="F7" t="n">
        <v>1288</v>
      </c>
      <c r="G7" t="inlineStr">
        <is>
          <t>Mumbai, India</t>
        </is>
      </c>
      <c r="H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I7" s="2">
        <f>HYPERLINK("https://www.rrshramik.com", "https://www.rrshramik.com")</f>
        <v/>
      </c>
      <c r="J7" s="2">
        <f>HYPERLINK("https://www.linkedin.com/company/rr-sharamik", "https://www.linkedin.com/company/rr-sharamik")</f>
        <v/>
      </c>
      <c r="K7" s="3" t="inlineStr">
        <is>
          <t>Verified</t>
        </is>
      </c>
    </row>
    <row r="8">
      <c r="A8" t="inlineStr">
        <is>
          <t>Rane Holdings Limited</t>
        </is>
      </c>
      <c r="B8" t="inlineStr">
        <is>
          <t>NSE:RANEHOLDIN</t>
        </is>
      </c>
      <c r="C8" t="inlineStr">
        <is>
          <t>Auto Parts: OEM</t>
        </is>
      </c>
      <c r="D8" t="n">
        <v>58833100000</v>
      </c>
      <c r="E8" t="n">
        <v>978700000</v>
      </c>
      <c r="F8" t="n">
        <v>130</v>
      </c>
      <c r="G8" t="inlineStr">
        <is>
          <t>Chennai, India</t>
        </is>
      </c>
      <c r="H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I8" s="2">
        <f>HYPERLINK("https://www.ranegroup.com", "https://www.ranegroup.com")</f>
        <v/>
      </c>
      <c r="J8" s="2">
        <f>HYPERLINK("https://www.linkedin.com/company/rane-holdings-limited", "https://www.linkedin.com/company/rane-holdings-limited")</f>
        <v/>
      </c>
      <c r="K8" s="3" t="inlineStr">
        <is>
          <t>Verified</t>
        </is>
      </c>
    </row>
    <row r="9">
      <c r="A9" t="inlineStr">
        <is>
          <t>Century Plyboards (India) Limited</t>
        </is>
      </c>
      <c r="B9" t="inlineStr">
        <is>
          <t>NSE:CENTURYPLY</t>
        </is>
      </c>
      <c r="C9" t="inlineStr">
        <is>
          <t>Building Products</t>
        </is>
      </c>
      <c r="D9" t="n">
        <v>57892045000</v>
      </c>
      <c r="E9" t="n">
        <v>2911405000</v>
      </c>
      <c r="F9" t="inlineStr"/>
      <c r="G9" t="inlineStr">
        <is>
          <t>Kolkata, India</t>
        </is>
      </c>
      <c r="H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I9" s="2">
        <f>HYPERLINK("https://www.centuryply.com", "https://www.centuryply.com")</f>
        <v/>
      </c>
      <c r="J9" s="2">
        <f>HYPERLINK("https://www.linkedin.com/company/century-plyboards-limited", "https://www.linkedin.com/company/century-plyboards-limited")</f>
        <v/>
      </c>
      <c r="K9" s="3" t="inlineStr">
        <is>
          <t>Verified</t>
        </is>
      </c>
    </row>
    <row r="10">
      <c r="A10" t="inlineStr">
        <is>
          <t>Wheels India Limited</t>
        </is>
      </c>
      <c r="B10" t="inlineStr">
        <is>
          <t>BSE:WHEELS</t>
        </is>
      </c>
      <c r="C10" t="inlineStr">
        <is>
          <t>Auto Parts: OEM</t>
        </is>
      </c>
      <c r="D10" t="n">
        <v>56904400000</v>
      </c>
      <c r="E10" t="n">
        <v>1634600000</v>
      </c>
      <c r="F10" t="n">
        <v>2735</v>
      </c>
      <c r="G10" t="inlineStr">
        <is>
          <t>Chennai, India</t>
        </is>
      </c>
      <c r="H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I10" s="2">
        <f>HYPERLINK("https://www.wheelsindia.com", "https://www.wheelsindia.com")</f>
        <v/>
      </c>
      <c r="J10" s="2">
        <f>HYPERLINK("https://www.linkedin.com/company/wheelsindialimited", "https://www.linkedin.com/company/wheelsindialimited")</f>
        <v/>
      </c>
      <c r="K10" s="3" t="inlineStr">
        <is>
          <t>Verified</t>
        </is>
      </c>
    </row>
    <row r="11">
      <c r="A11" t="inlineStr">
        <is>
          <t>Steel Strips Wheels Limited</t>
        </is>
      </c>
      <c r="B11" t="inlineStr">
        <is>
          <t>NSE:SSWL</t>
        </is>
      </c>
      <c r="C11" t="inlineStr">
        <is>
          <t>Auto Parts: OEM</t>
        </is>
      </c>
      <c r="D11" t="n">
        <v>55058362000</v>
      </c>
      <c r="E11" t="n">
        <v>2124273000</v>
      </c>
      <c r="F11" t="inlineStr"/>
      <c r="G11" t="inlineStr">
        <is>
          <t>Chandigarh, India</t>
        </is>
      </c>
      <c r="H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I11" s="2">
        <f>HYPERLINK("https://sswlindia.com", "https://sswlindia.com")</f>
        <v/>
      </c>
      <c r="J11" s="2">
        <f>HYPERLINK("https://www.linkedin.com/company/steel-strips-wheels-limited", "https://www.linkedin.com/company/steel-strips-wheels-limited")</f>
        <v/>
      </c>
      <c r="K11" s="3" t="inlineStr">
        <is>
          <t>Verified</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94"/>
  <sheetViews>
    <sheetView showGridLines="0" workbookViewId="0">
      <selection activeCell="A1" sqref="A1"/>
    </sheetView>
  </sheetViews>
  <sheetFormatPr baseColWidth="8" defaultRowHeight="15"/>
  <cols>
    <col width="6" customWidth="1" min="1" max="1"/>
    <col width="28" customWidth="1" min="2" max="2"/>
    <col width="50" customWidth="1" min="3" max="3"/>
    <col width="45" customWidth="1" min="4" max="4"/>
    <col width="45" customWidth="1" min="5" max="5"/>
    <col width="18" customWidth="1" min="6" max="6"/>
  </cols>
  <sheetData>
    <row r="1" ht="28" customHeight="1">
      <c r="A1" s="4" t="inlineStr">
        <is>
          <t xml:space="preserve">  ▸ Astral Limited  (7 contacts)</t>
        </is>
      </c>
      <c r="B1" s="5" t="n"/>
      <c r="C1" s="5" t="n"/>
      <c r="D1" s="5" t="n"/>
      <c r="E1" s="5" t="n"/>
      <c r="F1" s="5" t="n"/>
    </row>
    <row r="2" hidden="1" outlineLevel="1">
      <c r="A2" s="6" t="inlineStr">
        <is>
          <t>#</t>
        </is>
      </c>
      <c r="B2" s="6" t="inlineStr">
        <is>
          <t>Name</t>
        </is>
      </c>
      <c r="C2" s="6" t="inlineStr">
        <is>
          <t>Position</t>
        </is>
      </c>
      <c r="D2" s="6" t="inlineStr">
        <is>
          <t>LinkedIn (Person)</t>
        </is>
      </c>
      <c r="E2" s="6" t="inlineStr">
        <is>
          <t>Company LinkedIn</t>
        </is>
      </c>
      <c r="F2" s="6" t="inlineStr">
        <is>
          <t>Location</t>
        </is>
      </c>
    </row>
    <row r="3" hidden="1" outlineLevel="1">
      <c r="A3" s="7" t="n">
        <v>1</v>
      </c>
      <c r="B3" s="8" t="inlineStr">
        <is>
          <t>Saumya Engineer</t>
        </is>
      </c>
      <c r="C3" s="8" t="inlineStr">
        <is>
          <t>CEO | Astral Limited | Adhesives &amp; Paints</t>
        </is>
      </c>
      <c r="D3" s="9" t="inlineStr">
        <is>
          <t>Saumya Engineer</t>
        </is>
      </c>
      <c r="E3" s="9" t="inlineStr">
        <is>
          <t>Astral Limited</t>
        </is>
      </c>
      <c r="F3" s="7" t="inlineStr">
        <is>
          <t>Ahmedabad, India</t>
        </is>
      </c>
    </row>
    <row r="4" hidden="1" outlineLevel="1">
      <c r="A4" s="10" t="n">
        <v>2</v>
      </c>
      <c r="B4" s="11" t="inlineStr">
        <is>
          <t>Vikas Sharma</t>
        </is>
      </c>
      <c r="C4" s="11" t="inlineStr">
        <is>
          <t>Vice President (Projects) | Astral Limited</t>
        </is>
      </c>
      <c r="D4" s="12" t="inlineStr">
        <is>
          <t>Vikas Sharma</t>
        </is>
      </c>
      <c r="E4" s="12" t="inlineStr">
        <is>
          <t>Astral Limited</t>
        </is>
      </c>
      <c r="F4" s="10" t="inlineStr">
        <is>
          <t>Ahmedabad, India</t>
        </is>
      </c>
    </row>
    <row r="5" hidden="1" outlineLevel="1">
      <c r="A5" s="7" t="n">
        <v>3</v>
      </c>
      <c r="B5" s="8" t="inlineStr">
        <is>
          <t>Jitendra Asopa</t>
        </is>
      </c>
      <c r="C5" s="8" t="inlineStr">
        <is>
          <t>Vice President - Emerging Business and Customer Centricity | Astral Limited</t>
        </is>
      </c>
      <c r="D5" s="9" t="inlineStr">
        <is>
          <t>Jitendra Asopa</t>
        </is>
      </c>
      <c r="E5" s="9" t="inlineStr">
        <is>
          <t>Astral Limited</t>
        </is>
      </c>
      <c r="F5" s="7" t="inlineStr">
        <is>
          <t>Ahmedabad, India</t>
        </is>
      </c>
    </row>
    <row r="6" hidden="1" outlineLevel="1">
      <c r="A6" s="10" t="n">
        <v>4</v>
      </c>
      <c r="B6" s="11" t="inlineStr">
        <is>
          <t>Kairav Engineer</t>
        </is>
      </c>
      <c r="C6" s="11" t="inlineStr">
        <is>
          <t>Executive Director, Astral Limited</t>
        </is>
      </c>
      <c r="D6" s="12" t="inlineStr">
        <is>
          <t>Kairav Engineer</t>
        </is>
      </c>
      <c r="E6" s="12" t="inlineStr">
        <is>
          <t>Astral Limited</t>
        </is>
      </c>
      <c r="F6" s="10" t="inlineStr">
        <is>
          <t>Ahmedabad, India</t>
        </is>
      </c>
    </row>
    <row r="7" hidden="1" outlineLevel="1">
      <c r="A7" s="7" t="n">
        <v>5</v>
      </c>
      <c r="B7" s="8" t="inlineStr">
        <is>
          <t>Hiranand Savlani</t>
        </is>
      </c>
      <c r="C7" s="8" t="inlineStr">
        <is>
          <t>CFO &amp; Executive Director, Astral Limited</t>
        </is>
      </c>
      <c r="D7" s="9" t="inlineStr">
        <is>
          <t>Hiranand Savlani</t>
        </is>
      </c>
      <c r="E7" s="9" t="inlineStr">
        <is>
          <t>Astral Limited</t>
        </is>
      </c>
      <c r="F7" s="7" t="inlineStr">
        <is>
          <t>Ahmedabad, India</t>
        </is>
      </c>
    </row>
    <row r="8" hidden="1" outlineLevel="1">
      <c r="A8" s="10" t="n">
        <v>6</v>
      </c>
      <c r="B8" s="11" t="inlineStr">
        <is>
          <t>Vikash Kumar Jha</t>
        </is>
      </c>
      <c r="C8" s="11" t="inlineStr">
        <is>
          <t>Head of Sales – MNT/Auto &amp; FMCG Adhesives, Astral Limited</t>
        </is>
      </c>
      <c r="D8" s="12" t="inlineStr">
        <is>
          <t>Vikash Kumar Jha</t>
        </is>
      </c>
      <c r="E8" s="12" t="inlineStr">
        <is>
          <t>Astral Limited</t>
        </is>
      </c>
      <c r="F8" s="10" t="inlineStr">
        <is>
          <t>Ahmedabad, India</t>
        </is>
      </c>
    </row>
    <row r="9" hidden="1" outlineLevel="1">
      <c r="A9" s="7" t="n">
        <v>7</v>
      </c>
      <c r="B9" s="8" t="inlineStr">
        <is>
          <t>Viral Mankodi</t>
        </is>
      </c>
      <c r="C9" s="8" t="inlineStr">
        <is>
          <t>General Manager - HR, Corporate Office, Astral Limited</t>
        </is>
      </c>
      <c r="D9" s="9" t="inlineStr">
        <is>
          <t>Viral Mankodi</t>
        </is>
      </c>
      <c r="E9" s="9" t="inlineStr">
        <is>
          <t>Astral Limited</t>
        </is>
      </c>
      <c r="F9" s="7" t="inlineStr">
        <is>
          <t>Ahmedabad, India</t>
        </is>
      </c>
    </row>
    <row r="11" ht="28" customHeight="1">
      <c r="A11" s="4" t="inlineStr">
        <is>
          <t xml:space="preserve">  ▸ V-Guard Industries Limited  (6 contacts)</t>
        </is>
      </c>
      <c r="B11" s="5" t="n"/>
      <c r="C11" s="5" t="n"/>
      <c r="D11" s="5" t="n"/>
      <c r="E11" s="5" t="n"/>
      <c r="F11" s="5" t="n"/>
    </row>
    <row r="12" hidden="1" outlineLevel="1">
      <c r="A12" s="6" t="inlineStr">
        <is>
          <t>#</t>
        </is>
      </c>
      <c r="B12" s="6" t="inlineStr">
        <is>
          <t>Name</t>
        </is>
      </c>
      <c r="C12" s="6" t="inlineStr">
        <is>
          <t>Position</t>
        </is>
      </c>
      <c r="D12" s="6" t="inlineStr">
        <is>
          <t>LinkedIn (Person)</t>
        </is>
      </c>
      <c r="E12" s="6" t="inlineStr">
        <is>
          <t>Company LinkedIn</t>
        </is>
      </c>
      <c r="F12" s="6" t="inlineStr">
        <is>
          <t>Location</t>
        </is>
      </c>
    </row>
    <row r="13" hidden="1" outlineLevel="1">
      <c r="A13" s="7" t="n">
        <v>1</v>
      </c>
      <c r="B13" s="8" t="inlineStr">
        <is>
          <t>Mithun K Chittilappilly</t>
        </is>
      </c>
      <c r="C13" s="8" t="inlineStr">
        <is>
          <t>Managing Director</t>
        </is>
      </c>
      <c r="D13" s="9" t="inlineStr">
        <is>
          <t>Mithun K Chittilappilly</t>
        </is>
      </c>
      <c r="E13" s="9" t="inlineStr">
        <is>
          <t>V-Guard Industries Limited</t>
        </is>
      </c>
      <c r="F13" s="7" t="inlineStr">
        <is>
          <t>Kochi, India</t>
        </is>
      </c>
    </row>
    <row r="14" hidden="1" outlineLevel="1">
      <c r="A14" s="10" t="n">
        <v>2</v>
      </c>
      <c r="B14" s="11" t="inlineStr">
        <is>
          <t>Ramachandran Venkataraman</t>
        </is>
      </c>
      <c r="C14" s="11" t="inlineStr">
        <is>
          <t>Director &amp; Chief Operating Officer (COO)</t>
        </is>
      </c>
      <c r="D14" s="12" t="inlineStr">
        <is>
          <t>Ramachandran Venkataraman</t>
        </is>
      </c>
      <c r="E14" s="12" t="inlineStr">
        <is>
          <t>V-Guard Industries Limited</t>
        </is>
      </c>
      <c r="F14" s="10" t="inlineStr">
        <is>
          <t>Kochi, India</t>
        </is>
      </c>
    </row>
    <row r="15" hidden="1" outlineLevel="1">
      <c r="A15" s="7" t="n">
        <v>3</v>
      </c>
      <c r="B15" s="8" t="inlineStr">
        <is>
          <t>Remya Ann Jose</t>
        </is>
      </c>
      <c r="C15" s="8" t="inlineStr">
        <is>
          <t>DGM &amp; Head - Talent Management</t>
        </is>
      </c>
      <c r="D15" s="9" t="inlineStr">
        <is>
          <t>Remya Ann Jose</t>
        </is>
      </c>
      <c r="E15" s="9" t="inlineStr">
        <is>
          <t>V-Guard Industries Limited</t>
        </is>
      </c>
      <c r="F15" s="7" t="inlineStr">
        <is>
          <t>Kochi, India</t>
        </is>
      </c>
    </row>
    <row r="16" hidden="1" outlineLevel="1">
      <c r="A16" s="10" t="n">
        <v>4</v>
      </c>
      <c r="B16" s="11" t="inlineStr">
        <is>
          <t>Sundaresh Holla</t>
        </is>
      </c>
      <c r="C16" s="11" t="inlineStr">
        <is>
          <t>Assistant Vice President</t>
        </is>
      </c>
      <c r="D16" s="12" t="inlineStr">
        <is>
          <t>Sundaresh Holla</t>
        </is>
      </c>
      <c r="E16" s="12" t="inlineStr">
        <is>
          <t>V-Guard Industries Limited</t>
        </is>
      </c>
      <c r="F16" s="10" t="inlineStr">
        <is>
          <t>Kochi, India</t>
        </is>
      </c>
    </row>
    <row r="17" hidden="1" outlineLevel="1">
      <c r="A17" s="7" t="n">
        <v>5</v>
      </c>
      <c r="B17" s="8" t="inlineStr">
        <is>
          <t>Kapil Sharma</t>
        </is>
      </c>
      <c r="C17" s="8" t="inlineStr">
        <is>
          <t>Lead - Research &amp; Development, Switches Division</t>
        </is>
      </c>
      <c r="D17" s="9" t="inlineStr">
        <is>
          <t>Kapil Sharma</t>
        </is>
      </c>
      <c r="E17" s="9" t="inlineStr">
        <is>
          <t>V-Guard Industries Limited</t>
        </is>
      </c>
      <c r="F17" s="7" t="inlineStr">
        <is>
          <t>Kochi, India</t>
        </is>
      </c>
    </row>
    <row r="18" hidden="1" outlineLevel="1">
      <c r="A18" s="10" t="n">
        <v>6</v>
      </c>
      <c r="B18" s="11" t="inlineStr">
        <is>
          <t>Vikash Srivastava</t>
        </is>
      </c>
      <c r="C18" s="11" t="inlineStr">
        <is>
          <t>Regional Lead</t>
        </is>
      </c>
      <c r="D18" s="12" t="inlineStr">
        <is>
          <t>Vikash Srivastava</t>
        </is>
      </c>
      <c r="E18" s="12" t="inlineStr">
        <is>
          <t>V-Guard Industries Limited</t>
        </is>
      </c>
      <c r="F18" s="10" t="inlineStr">
        <is>
          <t>Kochi, India</t>
        </is>
      </c>
    </row>
    <row r="20" ht="28" customHeight="1">
      <c r="A20" s="4" t="inlineStr">
        <is>
          <t xml:space="preserve">  ▸ Sundram Fasteners Limited  (7 contacts)</t>
        </is>
      </c>
      <c r="B20" s="5" t="n"/>
      <c r="C20" s="5" t="n"/>
      <c r="D20" s="5" t="n"/>
      <c r="E20" s="5" t="n"/>
      <c r="F20" s="5" t="n"/>
    </row>
    <row r="21" hidden="1" outlineLevel="1">
      <c r="A21" s="6" t="inlineStr">
        <is>
          <t>#</t>
        </is>
      </c>
      <c r="B21" s="6" t="inlineStr">
        <is>
          <t>Name</t>
        </is>
      </c>
      <c r="C21" s="6" t="inlineStr">
        <is>
          <t>Position</t>
        </is>
      </c>
      <c r="D21" s="6" t="inlineStr">
        <is>
          <t>LinkedIn (Person)</t>
        </is>
      </c>
      <c r="E21" s="6" t="inlineStr">
        <is>
          <t>Company LinkedIn</t>
        </is>
      </c>
      <c r="F21" s="6" t="inlineStr">
        <is>
          <t>Location</t>
        </is>
      </c>
    </row>
    <row r="22" hidden="1" outlineLevel="1">
      <c r="A22" s="7" t="n">
        <v>1</v>
      </c>
      <c r="B22" s="8" t="inlineStr">
        <is>
          <t>Dr. Ramesh S</t>
        </is>
      </c>
      <c r="C22" s="8" t="inlineStr">
        <is>
          <t>Executive Vice President - Operations, Sundram Fasteners Limited</t>
        </is>
      </c>
      <c r="D22" s="9" t="inlineStr">
        <is>
          <t>Dr. Ramesh S</t>
        </is>
      </c>
      <c r="E22" s="9" t="inlineStr">
        <is>
          <t>Sundram Fasteners Limited</t>
        </is>
      </c>
      <c r="F22" s="7" t="inlineStr">
        <is>
          <t>Chennai, India</t>
        </is>
      </c>
    </row>
    <row r="23" hidden="1" outlineLevel="1">
      <c r="A23" s="10" t="n">
        <v>2</v>
      </c>
      <c r="B23" s="11" t="inlineStr">
        <is>
          <t>Anbarasan Vaithiyanathan</t>
        </is>
      </c>
      <c r="C23" s="11" t="inlineStr">
        <is>
          <t>Plant Head, Sundram Fasteners Limited</t>
        </is>
      </c>
      <c r="D23" s="12" t="inlineStr">
        <is>
          <t>Anbarasan Vaithiyanathan</t>
        </is>
      </c>
      <c r="E23" s="12" t="inlineStr">
        <is>
          <t>Sundram Fasteners Limited</t>
        </is>
      </c>
      <c r="F23" s="10" t="inlineStr">
        <is>
          <t>Chennai, India</t>
        </is>
      </c>
    </row>
    <row r="24" hidden="1" outlineLevel="1">
      <c r="A24" s="7" t="n">
        <v>3</v>
      </c>
      <c r="B24" s="8" t="inlineStr">
        <is>
          <t>M Thyagarajan</t>
        </is>
      </c>
      <c r="C24" s="8" t="inlineStr">
        <is>
          <t>Head HR, TVS Sundram Fasteners Ltd</t>
        </is>
      </c>
      <c r="D24" s="9" t="inlineStr">
        <is>
          <t>M Thyagarajan</t>
        </is>
      </c>
      <c r="E24" s="9" t="inlineStr">
        <is>
          <t>Sundram Fasteners Limited</t>
        </is>
      </c>
      <c r="F24" s="7" t="inlineStr">
        <is>
          <t>Chennai, India</t>
        </is>
      </c>
    </row>
    <row r="25" hidden="1" outlineLevel="1">
      <c r="A25" s="10" t="n">
        <v>4</v>
      </c>
      <c r="B25" s="11" t="inlineStr">
        <is>
          <t>Harihara Subramanian PR</t>
        </is>
      </c>
      <c r="C25" s="11" t="inlineStr">
        <is>
          <t>Head - Corporate Quality (Previously Divisional Head - TQM, Sundram Fasteners)</t>
        </is>
      </c>
      <c r="D25" s="12" t="inlineStr">
        <is>
          <t>Harihara Subramanian PR</t>
        </is>
      </c>
      <c r="E25" s="12" t="inlineStr">
        <is>
          <t>Sundram Fasteners Limited</t>
        </is>
      </c>
      <c r="F25" s="10" t="inlineStr">
        <is>
          <t>Chennai, India</t>
        </is>
      </c>
    </row>
    <row r="26" hidden="1" outlineLevel="1">
      <c r="A26" s="7" t="n">
        <v>5</v>
      </c>
      <c r="B26" s="8" t="inlineStr">
        <is>
          <t>P Padmanabhan</t>
        </is>
      </c>
      <c r="C26" s="8" t="inlineStr">
        <is>
          <t>Sr. General Manager, Sundram Fasteners Limited</t>
        </is>
      </c>
      <c r="D26" s="9" t="inlineStr">
        <is>
          <t>P Padmanabhan</t>
        </is>
      </c>
      <c r="E26" s="9" t="inlineStr">
        <is>
          <t>Sundram Fasteners Limited</t>
        </is>
      </c>
      <c r="F26" s="7" t="inlineStr">
        <is>
          <t>Chennai, India</t>
        </is>
      </c>
    </row>
    <row r="27" hidden="1" outlineLevel="1">
      <c r="A27" s="10" t="n">
        <v>6</v>
      </c>
      <c r="B27" s="11" t="inlineStr">
        <is>
          <t>Dr. Sivaraman Arjunan</t>
        </is>
      </c>
      <c r="C27" s="11" t="inlineStr">
        <is>
          <t>Deputy General Manager (Plant), Sundram Fasteners Limited</t>
        </is>
      </c>
      <c r="D27" s="12" t="inlineStr">
        <is>
          <t>Dr. Sivaraman Arjunan</t>
        </is>
      </c>
      <c r="E27" s="12" t="inlineStr">
        <is>
          <t>Sundram Fasteners Limited</t>
        </is>
      </c>
      <c r="F27" s="10" t="inlineStr">
        <is>
          <t>Chennai, India</t>
        </is>
      </c>
    </row>
    <row r="28" hidden="1" outlineLevel="1">
      <c r="A28" s="7" t="n">
        <v>7</v>
      </c>
      <c r="B28" s="8" t="inlineStr">
        <is>
          <t>Santhoshkumar Krishnamurthy</t>
        </is>
      </c>
      <c r="C28" s="8" t="inlineStr">
        <is>
          <t>Deputy Manager - Marketing &amp; EV Project, Sundram Fasteners</t>
        </is>
      </c>
      <c r="D28" s="9" t="inlineStr">
        <is>
          <t>Santhoshkumar Krishnamurthy</t>
        </is>
      </c>
      <c r="E28" s="9" t="inlineStr">
        <is>
          <t>Sundram Fasteners Limited</t>
        </is>
      </c>
      <c r="F28" s="7" t="inlineStr">
        <is>
          <t>Chennai, India</t>
        </is>
      </c>
    </row>
    <row r="30" ht="28" customHeight="1">
      <c r="A30" s="4" t="inlineStr">
        <is>
          <t xml:space="preserve">  ▸ JBM Auto Limited  (6 contacts)</t>
        </is>
      </c>
      <c r="B30" s="5" t="n"/>
      <c r="C30" s="5" t="n"/>
      <c r="D30" s="5" t="n"/>
      <c r="E30" s="5" t="n"/>
      <c r="F30" s="5" t="n"/>
    </row>
    <row r="31" hidden="1" outlineLevel="1">
      <c r="A31" s="6" t="inlineStr">
        <is>
          <t>#</t>
        </is>
      </c>
      <c r="B31" s="6" t="inlineStr">
        <is>
          <t>Name</t>
        </is>
      </c>
      <c r="C31" s="6" t="inlineStr">
        <is>
          <t>Position</t>
        </is>
      </c>
      <c r="D31" s="6" t="inlineStr">
        <is>
          <t>LinkedIn (Person)</t>
        </is>
      </c>
      <c r="E31" s="6" t="inlineStr">
        <is>
          <t>Company LinkedIn</t>
        </is>
      </c>
      <c r="F31" s="6" t="inlineStr">
        <is>
          <t>Location</t>
        </is>
      </c>
    </row>
    <row r="32" hidden="1" outlineLevel="1">
      <c r="A32" s="7" t="n">
        <v>1</v>
      </c>
      <c r="B32" s="8" t="inlineStr">
        <is>
          <t>Sanjay Rusia</t>
        </is>
      </c>
      <c r="C32" s="8" t="inlineStr">
        <is>
          <t>President &amp; CEO, JBM Electric Vehicles Pvt. Ltd.</t>
        </is>
      </c>
      <c r="D32" s="9" t="inlineStr">
        <is>
          <t>Sanjay Rusia</t>
        </is>
      </c>
      <c r="E32" s="9" t="inlineStr">
        <is>
          <t>JBM Auto Limited</t>
        </is>
      </c>
      <c r="F32" s="7" t="inlineStr">
        <is>
          <t>Gurugram, India</t>
        </is>
      </c>
    </row>
    <row r="33" hidden="1" outlineLevel="1">
      <c r="A33" s="10" t="n">
        <v>2</v>
      </c>
      <c r="B33" s="11" t="inlineStr">
        <is>
          <t>Rajiv Sahdev</t>
        </is>
      </c>
      <c r="C33" s="11" t="inlineStr">
        <is>
          <t>President &amp; Group CHRO, JBM Group</t>
        </is>
      </c>
      <c r="D33" s="12" t="inlineStr">
        <is>
          <t>Rajiv Sahdev</t>
        </is>
      </c>
      <c r="E33" s="12" t="inlineStr">
        <is>
          <t>JBM Auto Limited</t>
        </is>
      </c>
      <c r="F33" s="10" t="inlineStr">
        <is>
          <t>Gurugram, India</t>
        </is>
      </c>
    </row>
    <row r="34" hidden="1" outlineLevel="1">
      <c r="A34" s="7" t="n">
        <v>3</v>
      </c>
      <c r="B34" s="8" t="inlineStr">
        <is>
          <t>Dhiraj Mohan</t>
        </is>
      </c>
      <c r="C34" s="8" t="inlineStr">
        <is>
          <t>Executive Director (Whole-Time Director), JBM Auto Ltd.</t>
        </is>
      </c>
      <c r="D34" s="9" t="inlineStr">
        <is>
          <t>Dhiraj Mohan</t>
        </is>
      </c>
      <c r="E34" s="9" t="inlineStr">
        <is>
          <t>JBM Auto Limited</t>
        </is>
      </c>
      <c r="F34" s="7" t="inlineStr">
        <is>
          <t>Gurugram, India</t>
        </is>
      </c>
    </row>
    <row r="35" hidden="1" outlineLevel="1">
      <c r="A35" s="10" t="n">
        <v>4</v>
      </c>
      <c r="B35" s="11" t="inlineStr">
        <is>
          <t>Sanjay Bassi</t>
        </is>
      </c>
      <c r="C35" s="11" t="inlineStr">
        <is>
          <t>Vice President, JBM Group</t>
        </is>
      </c>
      <c r="D35" s="12" t="inlineStr">
        <is>
          <t>Sanjay Bassi</t>
        </is>
      </c>
      <c r="E35" s="12" t="inlineStr">
        <is>
          <t>JBM Auto Limited</t>
        </is>
      </c>
      <c r="F35" s="10" t="inlineStr">
        <is>
          <t>Gurugram, India</t>
        </is>
      </c>
    </row>
    <row r="36" hidden="1" outlineLevel="1">
      <c r="A36" s="7" t="n">
        <v>5</v>
      </c>
      <c r="B36" s="8" t="inlineStr">
        <is>
          <t>Prabhat Dhusiya</t>
        </is>
      </c>
      <c r="C36" s="8" t="inlineStr">
        <is>
          <t>Head of Supplier Quality / General Manager Operations, JBM Electric Vehicles</t>
        </is>
      </c>
      <c r="D36" s="9" t="inlineStr">
        <is>
          <t>Prabhat Dhusiya</t>
        </is>
      </c>
      <c r="E36" s="9" t="inlineStr">
        <is>
          <t>JBM Auto Limited</t>
        </is>
      </c>
      <c r="F36" s="7" t="inlineStr">
        <is>
          <t>Gurugram, India</t>
        </is>
      </c>
    </row>
    <row r="37" hidden="1" outlineLevel="1">
      <c r="A37" s="10" t="n">
        <v>6</v>
      </c>
      <c r="B37" s="11" t="inlineStr">
        <is>
          <t>Shubhra Sahay</t>
        </is>
      </c>
      <c r="C37" s="11" t="inlineStr">
        <is>
          <t>VP &amp; Head HR - JBMEV (JBM Group)</t>
        </is>
      </c>
      <c r="D37" s="12" t="inlineStr">
        <is>
          <t>Shubhra Sahay</t>
        </is>
      </c>
      <c r="E37" s="12" t="inlineStr">
        <is>
          <t>JBM Auto Limited</t>
        </is>
      </c>
      <c r="F37" s="10" t="inlineStr">
        <is>
          <t>Gurugram, India</t>
        </is>
      </c>
    </row>
    <row r="39" ht="28" customHeight="1">
      <c r="A39" s="4" t="inlineStr">
        <is>
          <t xml:space="preserve">  ▸ Minda Corporation Limited  (8 contacts)</t>
        </is>
      </c>
      <c r="B39" s="5" t="n"/>
      <c r="C39" s="5" t="n"/>
      <c r="D39" s="5" t="n"/>
      <c r="E39" s="5" t="n"/>
      <c r="F39" s="5" t="n"/>
    </row>
    <row r="40" hidden="1" outlineLevel="1">
      <c r="A40" s="6" t="inlineStr">
        <is>
          <t>#</t>
        </is>
      </c>
      <c r="B40" s="6" t="inlineStr">
        <is>
          <t>Name</t>
        </is>
      </c>
      <c r="C40" s="6" t="inlineStr">
        <is>
          <t>Position</t>
        </is>
      </c>
      <c r="D40" s="6" t="inlineStr">
        <is>
          <t>LinkedIn (Person)</t>
        </is>
      </c>
      <c r="E40" s="6" t="inlineStr">
        <is>
          <t>Company LinkedIn</t>
        </is>
      </c>
      <c r="F40" s="6" t="inlineStr">
        <is>
          <t>Location</t>
        </is>
      </c>
    </row>
    <row r="41" hidden="1" outlineLevel="1">
      <c r="A41" s="7" t="n">
        <v>1</v>
      </c>
      <c r="B41" s="8" t="inlineStr">
        <is>
          <t>Ashok Minda</t>
        </is>
      </c>
      <c r="C41" s="8" t="inlineStr">
        <is>
          <t>Chairman &amp; Group CEO at Spark Minda</t>
        </is>
      </c>
      <c r="D41" s="9" t="inlineStr">
        <is>
          <t>Ashok Minda</t>
        </is>
      </c>
      <c r="E41" s="9" t="inlineStr">
        <is>
          <t>Minda Corporation Limited</t>
        </is>
      </c>
      <c r="F41" s="7" t="inlineStr">
        <is>
          <t>Noida, India</t>
        </is>
      </c>
    </row>
    <row r="42" hidden="1" outlineLevel="1">
      <c r="A42" s="10" t="n">
        <v>2</v>
      </c>
      <c r="B42" s="11" t="inlineStr">
        <is>
          <t>Sunil Goel</t>
        </is>
      </c>
      <c r="C42" s="11" t="inlineStr">
        <is>
          <t>CEO at Minda Corporation Limited (AMD)</t>
        </is>
      </c>
      <c r="D42" s="12" t="inlineStr">
        <is>
          <t>Sunil Goel</t>
        </is>
      </c>
      <c r="E42" s="12" t="inlineStr">
        <is>
          <t>Minda Corporation Limited</t>
        </is>
      </c>
      <c r="F42" s="10" t="inlineStr">
        <is>
          <t>Noida, India</t>
        </is>
      </c>
    </row>
    <row r="43" hidden="1" outlineLevel="1">
      <c r="A43" s="7" t="n">
        <v>3</v>
      </c>
      <c r="B43" s="8" t="inlineStr">
        <is>
          <t>Vaikuntam Srinivasan</t>
        </is>
      </c>
      <c r="C43" s="8" t="inlineStr">
        <is>
          <t>Chief Operating Officer - Minda Corporation Ltd</t>
        </is>
      </c>
      <c r="D43" s="9" t="inlineStr">
        <is>
          <t>Vaikuntam Srinivasan</t>
        </is>
      </c>
      <c r="E43" s="9" t="inlineStr">
        <is>
          <t>Minda Corporation Limited</t>
        </is>
      </c>
      <c r="F43" s="7" t="inlineStr">
        <is>
          <t>Noida, India</t>
        </is>
      </c>
    </row>
    <row r="44" hidden="1" outlineLevel="1">
      <c r="A44" s="10" t="n">
        <v>4</v>
      </c>
      <c r="B44" s="11" t="inlineStr">
        <is>
          <t>Dr. Suresh D</t>
        </is>
      </c>
      <c r="C44" s="11" t="inlineStr">
        <is>
          <t>Board Member: EV Products | Group CTO</t>
        </is>
      </c>
      <c r="D44" s="12" t="inlineStr">
        <is>
          <t>Dr. Suresh D</t>
        </is>
      </c>
      <c r="E44" s="12" t="inlineStr">
        <is>
          <t>Minda Corporation Limited</t>
        </is>
      </c>
      <c r="F44" s="10" t="inlineStr">
        <is>
          <t>Noida, India</t>
        </is>
      </c>
    </row>
    <row r="45" hidden="1" outlineLevel="1">
      <c r="A45" s="7" t="n">
        <v>5</v>
      </c>
      <c r="B45" s="8" t="inlineStr">
        <is>
          <t>Sumit Doseja</t>
        </is>
      </c>
      <c r="C45" s="8" t="inlineStr">
        <is>
          <t>CEO at Minda Corporation Limited</t>
        </is>
      </c>
      <c r="D45" s="9" t="inlineStr">
        <is>
          <t>Sumit Doseja</t>
        </is>
      </c>
      <c r="E45" s="9" t="inlineStr">
        <is>
          <t>Minda Corporation Limited</t>
        </is>
      </c>
      <c r="F45" s="7" t="inlineStr">
        <is>
          <t>Noida, India</t>
        </is>
      </c>
    </row>
    <row r="46" hidden="1" outlineLevel="1">
      <c r="A46" s="10" t="n">
        <v>6</v>
      </c>
      <c r="B46" s="11" t="inlineStr">
        <is>
          <t>Aakash Minda</t>
        </is>
      </c>
      <c r="C46" s="11" t="inlineStr">
        <is>
          <t>Executive Director, Minda Corporation Ltd.</t>
        </is>
      </c>
      <c r="D46" s="12" t="inlineStr">
        <is>
          <t>Aakash Minda</t>
        </is>
      </c>
      <c r="E46" s="12" t="inlineStr">
        <is>
          <t>Minda Corporation Limited</t>
        </is>
      </c>
      <c r="F46" s="10" t="inlineStr">
        <is>
          <t>Noida, India</t>
        </is>
      </c>
    </row>
    <row r="47" hidden="1" outlineLevel="1">
      <c r="A47" s="7" t="n">
        <v>7</v>
      </c>
      <c r="B47" s="8" t="inlineStr">
        <is>
          <t>Joy P Panda</t>
        </is>
      </c>
      <c r="C47" s="8" t="inlineStr">
        <is>
          <t>Group President &amp; Chief Executive Officer (Spark Minda)</t>
        </is>
      </c>
      <c r="D47" s="9" t="inlineStr">
        <is>
          <t>Joy P Panda</t>
        </is>
      </c>
      <c r="E47" s="9" t="inlineStr">
        <is>
          <t>Minda Corporation Limited</t>
        </is>
      </c>
      <c r="F47" s="7" t="inlineStr">
        <is>
          <t>Noida, India</t>
        </is>
      </c>
    </row>
    <row r="48" hidden="1" outlineLevel="1">
      <c r="A48" s="10" t="n">
        <v>8</v>
      </c>
      <c r="B48" s="11" t="inlineStr">
        <is>
          <t>Anup Gupta</t>
        </is>
      </c>
      <c r="C48" s="11" t="inlineStr">
        <is>
          <t>Chief Executive Officer - Spark Minda Group</t>
        </is>
      </c>
      <c r="D48" s="12" t="inlineStr">
        <is>
          <t>Anup Gupta</t>
        </is>
      </c>
      <c r="E48" s="12" t="inlineStr">
        <is>
          <t>Minda Corporation Limited</t>
        </is>
      </c>
      <c r="F48" s="10" t="inlineStr">
        <is>
          <t>Noida, India</t>
        </is>
      </c>
    </row>
    <row r="50" ht="28" customHeight="1">
      <c r="A50" s="4" t="inlineStr">
        <is>
          <t xml:space="preserve">  ▸ Ram Ratna Wires Limited  (7 contacts)</t>
        </is>
      </c>
      <c r="B50" s="5" t="n"/>
      <c r="C50" s="5" t="n"/>
      <c r="D50" s="5" t="n"/>
      <c r="E50" s="5" t="n"/>
      <c r="F50" s="5" t="n"/>
    </row>
    <row r="51" hidden="1" outlineLevel="1">
      <c r="A51" s="6" t="inlineStr">
        <is>
          <t>#</t>
        </is>
      </c>
      <c r="B51" s="6" t="inlineStr">
        <is>
          <t>Name</t>
        </is>
      </c>
      <c r="C51" s="6" t="inlineStr">
        <is>
          <t>Position</t>
        </is>
      </c>
      <c r="D51" s="6" t="inlineStr">
        <is>
          <t>LinkedIn (Person)</t>
        </is>
      </c>
      <c r="E51" s="6" t="inlineStr">
        <is>
          <t>Company LinkedIn</t>
        </is>
      </c>
      <c r="F51" s="6" t="inlineStr">
        <is>
          <t>Location</t>
        </is>
      </c>
    </row>
    <row r="52" hidden="1" outlineLevel="1">
      <c r="A52" s="7" t="n">
        <v>1</v>
      </c>
      <c r="B52" s="8" t="inlineStr">
        <is>
          <t>Nimesh Kapoor</t>
        </is>
      </c>
      <c r="C52" s="8" t="inlineStr">
        <is>
          <t>Sr. Vice President – Marketing, Ram Ratna Wires Ltd.</t>
        </is>
      </c>
      <c r="D52" s="9" t="inlineStr">
        <is>
          <t>Nimesh Kapoor</t>
        </is>
      </c>
      <c r="E52" s="9" t="inlineStr">
        <is>
          <t>Ram Ratna Wires Limited</t>
        </is>
      </c>
      <c r="F52" s="7" t="inlineStr">
        <is>
          <t>Mumbai, India</t>
        </is>
      </c>
    </row>
    <row r="53" hidden="1" outlineLevel="1">
      <c r="A53" s="10" t="n">
        <v>2</v>
      </c>
      <c r="B53" s="11" t="inlineStr">
        <is>
          <t>Vijay Chandak</t>
        </is>
      </c>
      <c r="C53" s="11" t="inlineStr">
        <is>
          <t>Vice President, Ram Ratna Wires Ltd.</t>
        </is>
      </c>
      <c r="D53" s="12" t="inlineStr">
        <is>
          <t>Vijay Chandak</t>
        </is>
      </c>
      <c r="E53" s="12" t="inlineStr">
        <is>
          <t>Ram Ratna Wires Limited</t>
        </is>
      </c>
      <c r="F53" s="10" t="inlineStr">
        <is>
          <t>Mumbai, India</t>
        </is>
      </c>
    </row>
    <row r="54" hidden="1" outlineLevel="1">
      <c r="A54" s="7" t="n">
        <v>3</v>
      </c>
      <c r="B54" s="8" t="inlineStr">
        <is>
          <t>Ramesh Chandak</t>
        </is>
      </c>
      <c r="C54" s="8" t="inlineStr">
        <is>
          <t>Independent Director / Board Member, Ram Ratna Wires Ltd</t>
        </is>
      </c>
      <c r="D54" s="9" t="inlineStr">
        <is>
          <t>Ramesh Chandak</t>
        </is>
      </c>
      <c r="E54" s="9" t="inlineStr">
        <is>
          <t>Ram Ratna Wires Limited</t>
        </is>
      </c>
      <c r="F54" s="7" t="inlineStr">
        <is>
          <t>Mumbai, India</t>
        </is>
      </c>
    </row>
    <row r="55" hidden="1" outlineLevel="1">
      <c r="A55" s="10" t="n">
        <v>4</v>
      </c>
      <c r="B55" s="11" t="inlineStr">
        <is>
          <t>Vijay L. Chandak</t>
        </is>
      </c>
      <c r="C55" s="11" t="inlineStr">
        <is>
          <t>Vice President, Ram Ratna Wires Ltd</t>
        </is>
      </c>
      <c r="D55" s="12" t="inlineStr">
        <is>
          <t>Vijay L. Chandak</t>
        </is>
      </c>
      <c r="E55" s="12" t="inlineStr">
        <is>
          <t>Ram Ratna Wires Limited</t>
        </is>
      </c>
      <c r="F55" s="10" t="inlineStr">
        <is>
          <t>Mumbai, India</t>
        </is>
      </c>
    </row>
    <row r="56" hidden="1" outlineLevel="1">
      <c r="A56" s="7" t="n">
        <v>5</v>
      </c>
      <c r="B56" s="8" t="inlineStr">
        <is>
          <t>Sunil Kumar Singh</t>
        </is>
      </c>
      <c r="C56" s="8" t="inlineStr">
        <is>
          <t>AGM - Marketing, Ram Ratna Wires Ltd</t>
        </is>
      </c>
      <c r="D56" s="9" t="inlineStr">
        <is>
          <t>Sunil Kumar Singh</t>
        </is>
      </c>
      <c r="E56" s="9" t="inlineStr">
        <is>
          <t>Ram Ratna Wires Limited</t>
        </is>
      </c>
      <c r="F56" s="7" t="inlineStr">
        <is>
          <t>Mumbai, India</t>
        </is>
      </c>
    </row>
    <row r="57" hidden="1" outlineLevel="1">
      <c r="A57" s="10" t="n">
        <v>6</v>
      </c>
      <c r="B57" s="11" t="inlineStr">
        <is>
          <t>Subhashish Ghosh</t>
        </is>
      </c>
      <c r="C57" s="11" t="inlineStr">
        <is>
          <t>Manager, Maintenance, Ram Ratna Wires Ltd</t>
        </is>
      </c>
      <c r="D57" s="12" t="inlineStr">
        <is>
          <t>Subhashish Ghosh</t>
        </is>
      </c>
      <c r="E57" s="12" t="inlineStr">
        <is>
          <t>Ram Ratna Wires Limited</t>
        </is>
      </c>
      <c r="F57" s="10" t="inlineStr">
        <is>
          <t>Mumbai, India</t>
        </is>
      </c>
    </row>
    <row r="58" hidden="1" outlineLevel="1">
      <c r="A58" s="7" t="n">
        <v>7</v>
      </c>
      <c r="B58" s="8" t="inlineStr">
        <is>
          <t>Jigar Vaghela</t>
        </is>
      </c>
      <c r="C58" s="8" t="inlineStr">
        <is>
          <t>Sales &amp; Marketing Management, Ram Ratna Wires Ltd</t>
        </is>
      </c>
      <c r="D58" s="9" t="inlineStr">
        <is>
          <t>Jigar Vaghela</t>
        </is>
      </c>
      <c r="E58" s="9" t="inlineStr">
        <is>
          <t>Ram Ratna Wires Limited</t>
        </is>
      </c>
      <c r="F58" s="7" t="inlineStr">
        <is>
          <t>Mumbai, India</t>
        </is>
      </c>
    </row>
    <row r="60" ht="28" customHeight="1">
      <c r="A60" s="4" t="inlineStr">
        <is>
          <t xml:space="preserve">  ▸ Rane Holdings Limited  (6 contacts)</t>
        </is>
      </c>
      <c r="B60" s="5" t="n"/>
      <c r="C60" s="5" t="n"/>
      <c r="D60" s="5" t="n"/>
      <c r="E60" s="5" t="n"/>
      <c r="F60" s="5" t="n"/>
    </row>
    <row r="61" hidden="1" outlineLevel="1">
      <c r="A61" s="6" t="inlineStr">
        <is>
          <t>#</t>
        </is>
      </c>
      <c r="B61" s="6" t="inlineStr">
        <is>
          <t>Name</t>
        </is>
      </c>
      <c r="C61" s="6" t="inlineStr">
        <is>
          <t>Position</t>
        </is>
      </c>
      <c r="D61" s="6" t="inlineStr">
        <is>
          <t>LinkedIn (Person)</t>
        </is>
      </c>
      <c r="E61" s="6" t="inlineStr">
        <is>
          <t>Company LinkedIn</t>
        </is>
      </c>
      <c r="F61" s="6" t="inlineStr">
        <is>
          <t>Location</t>
        </is>
      </c>
    </row>
    <row r="62" hidden="1" outlineLevel="1">
      <c r="A62" s="7" t="n">
        <v>1</v>
      </c>
      <c r="B62" s="8" t="inlineStr">
        <is>
          <t>Dr. P.A. Padmanabhan</t>
        </is>
      </c>
      <c r="C62" s="8" t="inlineStr">
        <is>
          <t>President - Finance &amp; Group CFO, Rane Group</t>
        </is>
      </c>
      <c r="D62" s="9" t="inlineStr">
        <is>
          <t>Dr. P.A. Padmanabhan</t>
        </is>
      </c>
      <c r="E62" s="9" t="inlineStr">
        <is>
          <t>Rane Holdings Limited</t>
        </is>
      </c>
      <c r="F62" s="7" t="inlineStr">
        <is>
          <t>Chennai, India</t>
        </is>
      </c>
    </row>
    <row r="63" hidden="1" outlineLevel="1">
      <c r="A63" s="10" t="n">
        <v>2</v>
      </c>
      <c r="B63" s="11" t="inlineStr">
        <is>
          <t>Madhusudan Devarajan</t>
        </is>
      </c>
      <c r="C63" s="11" t="inlineStr">
        <is>
          <t>Senior Vice President, Americas &amp; Europe (Rane Holdings America Inc.)</t>
        </is>
      </c>
      <c r="D63" s="12" t="inlineStr">
        <is>
          <t>Madhusudan Devarajan</t>
        </is>
      </c>
      <c r="E63" s="12" t="inlineStr">
        <is>
          <t>Rane Holdings Limited</t>
        </is>
      </c>
      <c r="F63" s="10" t="inlineStr">
        <is>
          <t>Chennai, India</t>
        </is>
      </c>
    </row>
    <row r="64" hidden="1" outlineLevel="1">
      <c r="A64" s="7" t="n">
        <v>3</v>
      </c>
      <c r="B64" s="8" t="inlineStr">
        <is>
          <t>Rajesh Raghavan</t>
        </is>
      </c>
      <c r="C64" s="8" t="inlineStr">
        <is>
          <t>President - Corporate, Rane Holdings Ltd</t>
        </is>
      </c>
      <c r="D64" s="9" t="inlineStr">
        <is>
          <t>Rajesh Raghavan</t>
        </is>
      </c>
      <c r="E64" s="9" t="inlineStr">
        <is>
          <t>Rane Holdings Limited</t>
        </is>
      </c>
      <c r="F64" s="7" t="inlineStr">
        <is>
          <t>Chennai, India</t>
        </is>
      </c>
    </row>
    <row r="65" hidden="1" outlineLevel="1">
      <c r="A65" s="10" t="n">
        <v>4</v>
      </c>
      <c r="B65" s="11" t="inlineStr">
        <is>
          <t>Sridhar Subramanian</t>
        </is>
      </c>
      <c r="C65" s="11" t="inlineStr">
        <is>
          <t>Vice President - Operations, Rane Group</t>
        </is>
      </c>
      <c r="D65" s="12" t="inlineStr">
        <is>
          <t>Sridhar Subramanian</t>
        </is>
      </c>
      <c r="E65" s="12" t="inlineStr">
        <is>
          <t>Rane Holdings Limited</t>
        </is>
      </c>
      <c r="F65" s="10" t="inlineStr">
        <is>
          <t>Chennai, India</t>
        </is>
      </c>
    </row>
    <row r="66" hidden="1" outlineLevel="1">
      <c r="A66" s="7" t="n">
        <v>5</v>
      </c>
      <c r="B66" s="8" t="inlineStr">
        <is>
          <t>Harish Lakshman</t>
        </is>
      </c>
      <c r="C66" s="8" t="inlineStr">
        <is>
          <t>Chairman, Rane Group / Rane Holdings Ltd</t>
        </is>
      </c>
      <c r="D66" s="9" t="inlineStr">
        <is>
          <t>Harish Lakshman</t>
        </is>
      </c>
      <c r="E66" s="9" t="inlineStr">
        <is>
          <t>Rane Holdings Limited</t>
        </is>
      </c>
      <c r="F66" s="7" t="inlineStr">
        <is>
          <t>Chennai, India</t>
        </is>
      </c>
    </row>
    <row r="67" hidden="1" outlineLevel="1">
      <c r="A67" s="10" t="n">
        <v>6</v>
      </c>
      <c r="B67" s="11" t="inlineStr">
        <is>
          <t>Ramesh R</t>
        </is>
      </c>
      <c r="C67" s="11" t="inlineStr">
        <is>
          <t>Advisor to Chairman, Rane Holdings Ltd</t>
        </is>
      </c>
      <c r="D67" s="12" t="inlineStr">
        <is>
          <t>Ramesh R</t>
        </is>
      </c>
      <c r="E67" s="12" t="inlineStr">
        <is>
          <t>Rane Holdings Limited</t>
        </is>
      </c>
      <c r="F67" s="10" t="inlineStr">
        <is>
          <t>Chennai, India</t>
        </is>
      </c>
    </row>
    <row r="69" ht="28" customHeight="1">
      <c r="A69" s="4" t="inlineStr">
        <is>
          <t xml:space="preserve">  ▸ Century Plyboards (India) Limited  (7 contacts)</t>
        </is>
      </c>
      <c r="B69" s="5" t="n"/>
      <c r="C69" s="5" t="n"/>
      <c r="D69" s="5" t="n"/>
      <c r="E69" s="5" t="n"/>
      <c r="F69" s="5" t="n"/>
    </row>
    <row r="70" hidden="1" outlineLevel="1">
      <c r="A70" s="6" t="inlineStr">
        <is>
          <t>#</t>
        </is>
      </c>
      <c r="B70" s="6" t="inlineStr">
        <is>
          <t>Name</t>
        </is>
      </c>
      <c r="C70" s="6" t="inlineStr">
        <is>
          <t>Position</t>
        </is>
      </c>
      <c r="D70" s="6" t="inlineStr">
        <is>
          <t>LinkedIn (Person)</t>
        </is>
      </c>
      <c r="E70" s="6" t="inlineStr">
        <is>
          <t>Company LinkedIn</t>
        </is>
      </c>
      <c r="F70" s="6" t="inlineStr">
        <is>
          <t>Location</t>
        </is>
      </c>
    </row>
    <row r="71" hidden="1" outlineLevel="1">
      <c r="A71" s="7" t="n">
        <v>1</v>
      </c>
      <c r="B71" s="8" t="inlineStr">
        <is>
          <t>Nikita Agarwal Bansal</t>
        </is>
      </c>
      <c r="C71" s="8" t="inlineStr">
        <is>
          <t>Executive Director</t>
        </is>
      </c>
      <c r="D71" s="9" t="inlineStr">
        <is>
          <t>Nikita Agarwal Bansal</t>
        </is>
      </c>
      <c r="E71" s="9" t="inlineStr">
        <is>
          <t>Century Plyboards (India) Limited</t>
        </is>
      </c>
      <c r="F71" s="7" t="inlineStr">
        <is>
          <t>Kolkata, India</t>
        </is>
      </c>
    </row>
    <row r="72" hidden="1" outlineLevel="1">
      <c r="A72" s="10" t="n">
        <v>2</v>
      </c>
      <c r="B72" s="11" t="inlineStr">
        <is>
          <t>Rakesh Tiga</t>
        </is>
      </c>
      <c r="C72" s="11" t="inlineStr">
        <is>
          <t>Chief Human Resources Officer</t>
        </is>
      </c>
      <c r="D72" s="12" t="inlineStr">
        <is>
          <t>Rakesh Tiga</t>
        </is>
      </c>
      <c r="E72" s="12" t="inlineStr">
        <is>
          <t>Century Plyboards (India) Limited</t>
        </is>
      </c>
      <c r="F72" s="10" t="inlineStr">
        <is>
          <t>Kolkata, India</t>
        </is>
      </c>
    </row>
    <row r="73" hidden="1" outlineLevel="1">
      <c r="A73" s="7" t="n">
        <v>3</v>
      </c>
      <c r="B73" s="8" t="inlineStr">
        <is>
          <t>Sanjay Agarwal</t>
        </is>
      </c>
      <c r="C73" s="8" t="inlineStr">
        <is>
          <t>Managing Director (MD)</t>
        </is>
      </c>
      <c r="D73" s="9" t="inlineStr">
        <is>
          <t>Sanjay Agarwal</t>
        </is>
      </c>
      <c r="E73" s="9" t="inlineStr">
        <is>
          <t>Century Plyboards (India) Limited</t>
        </is>
      </c>
      <c r="F73" s="7" t="inlineStr">
        <is>
          <t>Kolkata, India</t>
        </is>
      </c>
    </row>
    <row r="74" hidden="1" outlineLevel="1">
      <c r="A74" s="10" t="n">
        <v>4</v>
      </c>
      <c r="B74" s="11" t="inlineStr">
        <is>
          <t>Navarun Sen</t>
        </is>
      </c>
      <c r="C74" s="11" t="inlineStr">
        <is>
          <t>Chief Operating Officer - Panel &amp; Plyboards / Senior Vice President</t>
        </is>
      </c>
      <c r="D74" s="12" t="inlineStr">
        <is>
          <t>Navarun Sen</t>
        </is>
      </c>
      <c r="E74" s="12" t="inlineStr">
        <is>
          <t>Century Plyboards (India) Limited</t>
        </is>
      </c>
      <c r="F74" s="10" t="inlineStr">
        <is>
          <t>Kolkata, India</t>
        </is>
      </c>
    </row>
    <row r="75" hidden="1" outlineLevel="1">
      <c r="A75" s="7" t="n">
        <v>5</v>
      </c>
      <c r="B75" s="8" t="inlineStr">
        <is>
          <t>Naveen Lohia</t>
        </is>
      </c>
      <c r="C75" s="8" t="inlineStr">
        <is>
          <t>Vice President - Exports</t>
        </is>
      </c>
      <c r="D75" s="9" t="inlineStr">
        <is>
          <t>Naveen Lohia</t>
        </is>
      </c>
      <c r="E75" s="9" t="inlineStr">
        <is>
          <t>Century Plyboards (India) Limited</t>
        </is>
      </c>
      <c r="F75" s="7" t="inlineStr">
        <is>
          <t>Kolkata, India</t>
        </is>
      </c>
    </row>
    <row r="76" hidden="1" outlineLevel="1">
      <c r="A76" s="10" t="n">
        <v>6</v>
      </c>
      <c r="B76" s="11" t="inlineStr">
        <is>
          <t>Mousumi Pal Sengupta</t>
        </is>
      </c>
      <c r="C76" s="11" t="inlineStr">
        <is>
          <t>Category Head - Modular Kitchen</t>
        </is>
      </c>
      <c r="D76" s="12" t="inlineStr">
        <is>
          <t>Mousumi Pal Sengupta</t>
        </is>
      </c>
      <c r="E76" s="12" t="inlineStr">
        <is>
          <t>Century Plyboards (India) Limited</t>
        </is>
      </c>
      <c r="F76" s="10" t="inlineStr">
        <is>
          <t>Kolkata, India</t>
        </is>
      </c>
    </row>
    <row r="77" hidden="1" outlineLevel="1">
      <c r="A77" s="7" t="n">
        <v>7</v>
      </c>
      <c r="B77" s="8" t="inlineStr">
        <is>
          <t>Kapil A.</t>
        </is>
      </c>
      <c r="C77" s="8" t="inlineStr">
        <is>
          <t>Head of L&amp;D &amp; Talent Management (HR Leader)</t>
        </is>
      </c>
      <c r="D77" s="9" t="inlineStr">
        <is>
          <t>Kapil A.</t>
        </is>
      </c>
      <c r="E77" s="9" t="inlineStr">
        <is>
          <t>Century Plyboards (India) Limited</t>
        </is>
      </c>
      <c r="F77" s="7" t="inlineStr">
        <is>
          <t>Kolkata, India</t>
        </is>
      </c>
    </row>
    <row r="79" ht="28" customHeight="1">
      <c r="A79" s="4" t="inlineStr">
        <is>
          <t xml:space="preserve">  ▸ Wheels India Limited  (5 contacts)</t>
        </is>
      </c>
      <c r="B79" s="5" t="n"/>
      <c r="C79" s="5" t="n"/>
      <c r="D79" s="5" t="n"/>
      <c r="E79" s="5" t="n"/>
      <c r="F79" s="5" t="n"/>
    </row>
    <row r="80" hidden="1" outlineLevel="1">
      <c r="A80" s="6" t="inlineStr">
        <is>
          <t>#</t>
        </is>
      </c>
      <c r="B80" s="6" t="inlineStr">
        <is>
          <t>Name</t>
        </is>
      </c>
      <c r="C80" s="6" t="inlineStr">
        <is>
          <t>Position</t>
        </is>
      </c>
      <c r="D80" s="6" t="inlineStr">
        <is>
          <t>LinkedIn (Person)</t>
        </is>
      </c>
      <c r="E80" s="6" t="inlineStr">
        <is>
          <t>Company LinkedIn</t>
        </is>
      </c>
      <c r="F80" s="6" t="inlineStr">
        <is>
          <t>Location</t>
        </is>
      </c>
    </row>
    <row r="81" hidden="1" outlineLevel="1">
      <c r="A81" s="7" t="n">
        <v>1</v>
      </c>
      <c r="B81" s="8" t="inlineStr">
        <is>
          <t>Venkataramanan V</t>
        </is>
      </c>
      <c r="C81" s="8" t="inlineStr">
        <is>
          <t>Vice President - Finance at Wheels India Limited</t>
        </is>
      </c>
      <c r="D81" s="9" t="inlineStr">
        <is>
          <t>Venkataramanan V</t>
        </is>
      </c>
      <c r="E81" s="9" t="inlineStr">
        <is>
          <t>Wheels India Limited</t>
        </is>
      </c>
      <c r="F81" s="7" t="inlineStr">
        <is>
          <t>Chennai, India</t>
        </is>
      </c>
    </row>
    <row r="82" hidden="1" outlineLevel="1">
      <c r="A82" s="10" t="n">
        <v>2</v>
      </c>
      <c r="B82" s="11" t="inlineStr">
        <is>
          <t>Sridhar Raman</t>
        </is>
      </c>
      <c r="C82" s="11" t="inlineStr">
        <is>
          <t>Vice President (Accounts) at Wheels India Limited</t>
        </is>
      </c>
      <c r="D82" s="12" t="inlineStr">
        <is>
          <t>Sridhar Raman</t>
        </is>
      </c>
      <c r="E82" s="12" t="inlineStr">
        <is>
          <t>Wheels India Limited</t>
        </is>
      </c>
      <c r="F82" s="10" t="inlineStr">
        <is>
          <t>Chennai, India</t>
        </is>
      </c>
    </row>
    <row r="83" hidden="1" outlineLevel="1">
      <c r="A83" s="7" t="n">
        <v>3</v>
      </c>
      <c r="B83" s="8" t="inlineStr">
        <is>
          <t>Sanjay Pande</t>
        </is>
      </c>
      <c r="C83" s="8" t="inlineStr">
        <is>
          <t>Sr Vice President (Marketing) at Wheels India Limited</t>
        </is>
      </c>
      <c r="D83" s="9" t="inlineStr">
        <is>
          <t>Sanjay Pande</t>
        </is>
      </c>
      <c r="E83" s="9" t="inlineStr">
        <is>
          <t>Wheels India Limited</t>
        </is>
      </c>
      <c r="F83" s="7" t="inlineStr">
        <is>
          <t>Chennai, India</t>
        </is>
      </c>
    </row>
    <row r="84" hidden="1" outlineLevel="1">
      <c r="A84" s="10" t="n">
        <v>4</v>
      </c>
      <c r="B84" s="11" t="inlineStr">
        <is>
          <t>Rajeev Kapoor</t>
        </is>
      </c>
      <c r="C84" s="11" t="inlineStr">
        <is>
          <t>Sr. Vice President - Automotive Business at Wheels India Limited</t>
        </is>
      </c>
      <c r="D84" s="12" t="inlineStr">
        <is>
          <t>Rajeev Kapoor</t>
        </is>
      </c>
      <c r="E84" s="12" t="inlineStr">
        <is>
          <t>Wheels India Limited</t>
        </is>
      </c>
      <c r="F84" s="10" t="inlineStr">
        <is>
          <t>Chennai, India</t>
        </is>
      </c>
    </row>
    <row r="85" hidden="1" outlineLevel="1">
      <c r="A85" s="7" t="n">
        <v>5</v>
      </c>
      <c r="B85" s="8" t="inlineStr">
        <is>
          <t>K Siva Raman</t>
        </is>
      </c>
      <c r="C85" s="8" t="inlineStr">
        <is>
          <t>Senior General Manager at Wheels India Limited</t>
        </is>
      </c>
      <c r="D85" s="9" t="inlineStr">
        <is>
          <t>K Siva Raman</t>
        </is>
      </c>
      <c r="E85" s="9" t="inlineStr">
        <is>
          <t>Wheels India Limited</t>
        </is>
      </c>
      <c r="F85" s="7" t="inlineStr">
        <is>
          <t>Chennai, India</t>
        </is>
      </c>
    </row>
    <row r="87" ht="28" customHeight="1">
      <c r="A87" s="4" t="inlineStr">
        <is>
          <t xml:space="preserve">  ▸ Steel Strips Wheels Limited  (6 contacts)</t>
        </is>
      </c>
      <c r="B87" s="5" t="n"/>
      <c r="C87" s="5" t="n"/>
      <c r="D87" s="5" t="n"/>
      <c r="E87" s="5" t="n"/>
      <c r="F87" s="5" t="n"/>
    </row>
    <row r="88" hidden="1" outlineLevel="1">
      <c r="A88" s="6" t="inlineStr">
        <is>
          <t>#</t>
        </is>
      </c>
      <c r="B88" s="6" t="inlineStr">
        <is>
          <t>Name</t>
        </is>
      </c>
      <c r="C88" s="6" t="inlineStr">
        <is>
          <t>Position</t>
        </is>
      </c>
      <c r="D88" s="6" t="inlineStr">
        <is>
          <t>LinkedIn (Person)</t>
        </is>
      </c>
      <c r="E88" s="6" t="inlineStr">
        <is>
          <t>Company LinkedIn</t>
        </is>
      </c>
      <c r="F88" s="6" t="inlineStr">
        <is>
          <t>Location</t>
        </is>
      </c>
    </row>
    <row r="89" hidden="1" outlineLevel="1">
      <c r="A89" s="7" t="n">
        <v>1</v>
      </c>
      <c r="B89" s="8" t="inlineStr">
        <is>
          <t>Rajith M K</t>
        </is>
      </c>
      <c r="C89" s="8" t="inlineStr">
        <is>
          <t>Vice President Manufacturing</t>
        </is>
      </c>
      <c r="D89" s="9" t="inlineStr">
        <is>
          <t>Rajith M K</t>
        </is>
      </c>
      <c r="E89" s="9" t="inlineStr">
        <is>
          <t>Steel Strips Wheels Limited</t>
        </is>
      </c>
      <c r="F89" s="7" t="inlineStr">
        <is>
          <t>Chandigarh, India</t>
        </is>
      </c>
    </row>
    <row r="90" hidden="1" outlineLevel="1">
      <c r="A90" s="10" t="n">
        <v>2</v>
      </c>
      <c r="B90" s="11" t="inlineStr">
        <is>
          <t>Udaya Kumar</t>
        </is>
      </c>
      <c r="C90" s="11" t="inlineStr">
        <is>
          <t>Vice President - Production</t>
        </is>
      </c>
      <c r="D90" s="12" t="inlineStr">
        <is>
          <t>Udaya Kumar</t>
        </is>
      </c>
      <c r="E90" s="12" t="inlineStr">
        <is>
          <t>Steel Strips Wheels Limited</t>
        </is>
      </c>
      <c r="F90" s="10" t="inlineStr">
        <is>
          <t>Chandigarh, India</t>
        </is>
      </c>
    </row>
    <row r="91" hidden="1" outlineLevel="1">
      <c r="A91" s="7" t="n">
        <v>3</v>
      </c>
      <c r="B91" s="8" t="inlineStr">
        <is>
          <t>Sanjay Singh</t>
        </is>
      </c>
      <c r="C91" s="8" t="inlineStr">
        <is>
          <t>Vice President - Finance &amp; Accounts</t>
        </is>
      </c>
      <c r="D91" s="9" t="inlineStr">
        <is>
          <t>Sanjay Singh</t>
        </is>
      </c>
      <c r="E91" s="9" t="inlineStr">
        <is>
          <t>Steel Strips Wheels Limited</t>
        </is>
      </c>
      <c r="F91" s="7" t="inlineStr">
        <is>
          <t>Chandigarh, India</t>
        </is>
      </c>
    </row>
    <row r="92" hidden="1" outlineLevel="1">
      <c r="A92" s="10" t="n">
        <v>4</v>
      </c>
      <c r="B92" s="11" t="inlineStr">
        <is>
          <t>Rajesh Jindal</t>
        </is>
      </c>
      <c r="C92" s="11" t="inlineStr">
        <is>
          <t>Vice President - Steel Purchase</t>
        </is>
      </c>
      <c r="D92" s="12" t="inlineStr">
        <is>
          <t>Rajesh Jindal</t>
        </is>
      </c>
      <c r="E92" s="12" t="inlineStr">
        <is>
          <t>Steel Strips Wheels Limited</t>
        </is>
      </c>
      <c r="F92" s="10" t="inlineStr">
        <is>
          <t>Chandigarh, India</t>
        </is>
      </c>
    </row>
    <row r="93" hidden="1" outlineLevel="1">
      <c r="A93" s="7" t="n">
        <v>5</v>
      </c>
      <c r="B93" s="8" t="inlineStr">
        <is>
          <t>Mohan Joshi</t>
        </is>
      </c>
      <c r="C93" s="8" t="inlineStr">
        <is>
          <t>Deputy Managing Director</t>
        </is>
      </c>
      <c r="D93" s="9" t="inlineStr">
        <is>
          <t>Mohan Joshi</t>
        </is>
      </c>
      <c r="E93" s="9" t="inlineStr">
        <is>
          <t>Steel Strips Wheels Limited</t>
        </is>
      </c>
      <c r="F93" s="7" t="inlineStr">
        <is>
          <t>Chandigarh, India</t>
        </is>
      </c>
    </row>
    <row r="94" hidden="1" outlineLevel="1">
      <c r="A94" s="10" t="n">
        <v>6</v>
      </c>
      <c r="B94" s="11" t="inlineStr">
        <is>
          <t>Jatinder Singh</t>
        </is>
      </c>
      <c r="C94" s="11" t="inlineStr">
        <is>
          <t>President - Operations Excellence</t>
        </is>
      </c>
      <c r="D94" s="12" t="inlineStr">
        <is>
          <t>Jatinder Singh</t>
        </is>
      </c>
      <c r="E94" s="12" t="inlineStr">
        <is>
          <t>Steel Strips Wheels Limited</t>
        </is>
      </c>
      <c r="F94" s="10" t="inlineStr">
        <is>
          <t>Chandigarh, India</t>
        </is>
      </c>
    </row>
  </sheetData>
  <mergeCells count="10">
    <mergeCell ref="A11:F11"/>
    <mergeCell ref="A60:F60"/>
    <mergeCell ref="A1:F1"/>
    <mergeCell ref="A79:F79"/>
    <mergeCell ref="A50:F50"/>
    <mergeCell ref="A20:F20"/>
    <mergeCell ref="A30:F30"/>
    <mergeCell ref="A39:F39"/>
    <mergeCell ref="A69:F69"/>
    <mergeCell ref="A87:F87"/>
  </mergeCells>
  <hyperlinks>
    <hyperlink xmlns:r="http://schemas.openxmlformats.org/officeDocument/2006/relationships" ref="D3" r:id="rId1"/>
    <hyperlink xmlns:r="http://schemas.openxmlformats.org/officeDocument/2006/relationships" ref="E3" r:id="rId2"/>
    <hyperlink xmlns:r="http://schemas.openxmlformats.org/officeDocument/2006/relationships" ref="D4" r:id="rId3"/>
    <hyperlink xmlns:r="http://schemas.openxmlformats.org/officeDocument/2006/relationships" ref="E4" r:id="rId4"/>
    <hyperlink xmlns:r="http://schemas.openxmlformats.org/officeDocument/2006/relationships" ref="D5" r:id="rId5"/>
    <hyperlink xmlns:r="http://schemas.openxmlformats.org/officeDocument/2006/relationships" ref="E5" r:id="rId6"/>
    <hyperlink xmlns:r="http://schemas.openxmlformats.org/officeDocument/2006/relationships" ref="D6" r:id="rId7"/>
    <hyperlink xmlns:r="http://schemas.openxmlformats.org/officeDocument/2006/relationships" ref="E6" r:id="rId8"/>
    <hyperlink xmlns:r="http://schemas.openxmlformats.org/officeDocument/2006/relationships" ref="D7" r:id="rId9"/>
    <hyperlink xmlns:r="http://schemas.openxmlformats.org/officeDocument/2006/relationships" ref="E7" r:id="rId10"/>
    <hyperlink xmlns:r="http://schemas.openxmlformats.org/officeDocument/2006/relationships" ref="D8" r:id="rId11"/>
    <hyperlink xmlns:r="http://schemas.openxmlformats.org/officeDocument/2006/relationships" ref="E8" r:id="rId12"/>
    <hyperlink xmlns:r="http://schemas.openxmlformats.org/officeDocument/2006/relationships" ref="D9" r:id="rId13"/>
    <hyperlink xmlns:r="http://schemas.openxmlformats.org/officeDocument/2006/relationships" ref="E9" r:id="rId14"/>
    <hyperlink xmlns:r="http://schemas.openxmlformats.org/officeDocument/2006/relationships" ref="D13" r:id="rId15"/>
    <hyperlink xmlns:r="http://schemas.openxmlformats.org/officeDocument/2006/relationships" ref="E13" r:id="rId16"/>
    <hyperlink xmlns:r="http://schemas.openxmlformats.org/officeDocument/2006/relationships" ref="D14" r:id="rId17"/>
    <hyperlink xmlns:r="http://schemas.openxmlformats.org/officeDocument/2006/relationships" ref="E14" r:id="rId18"/>
    <hyperlink xmlns:r="http://schemas.openxmlformats.org/officeDocument/2006/relationships" ref="D15" r:id="rId19"/>
    <hyperlink xmlns:r="http://schemas.openxmlformats.org/officeDocument/2006/relationships" ref="E15" r:id="rId20"/>
    <hyperlink xmlns:r="http://schemas.openxmlformats.org/officeDocument/2006/relationships" ref="D16" r:id="rId21"/>
    <hyperlink xmlns:r="http://schemas.openxmlformats.org/officeDocument/2006/relationships" ref="E16" r:id="rId22"/>
    <hyperlink xmlns:r="http://schemas.openxmlformats.org/officeDocument/2006/relationships" ref="D17" r:id="rId23"/>
    <hyperlink xmlns:r="http://schemas.openxmlformats.org/officeDocument/2006/relationships" ref="E17" r:id="rId24"/>
    <hyperlink xmlns:r="http://schemas.openxmlformats.org/officeDocument/2006/relationships" ref="D18" r:id="rId25"/>
    <hyperlink xmlns:r="http://schemas.openxmlformats.org/officeDocument/2006/relationships" ref="E18" r:id="rId26"/>
    <hyperlink xmlns:r="http://schemas.openxmlformats.org/officeDocument/2006/relationships" ref="D22" r:id="rId27"/>
    <hyperlink xmlns:r="http://schemas.openxmlformats.org/officeDocument/2006/relationships" ref="E22" r:id="rId28"/>
    <hyperlink xmlns:r="http://schemas.openxmlformats.org/officeDocument/2006/relationships" ref="D23" r:id="rId29"/>
    <hyperlink xmlns:r="http://schemas.openxmlformats.org/officeDocument/2006/relationships" ref="E23" r:id="rId30"/>
    <hyperlink xmlns:r="http://schemas.openxmlformats.org/officeDocument/2006/relationships" ref="D24" r:id="rId31"/>
    <hyperlink xmlns:r="http://schemas.openxmlformats.org/officeDocument/2006/relationships" ref="E24" r:id="rId32"/>
    <hyperlink xmlns:r="http://schemas.openxmlformats.org/officeDocument/2006/relationships" ref="D25" r:id="rId33"/>
    <hyperlink xmlns:r="http://schemas.openxmlformats.org/officeDocument/2006/relationships" ref="E25" r:id="rId34"/>
    <hyperlink xmlns:r="http://schemas.openxmlformats.org/officeDocument/2006/relationships" ref="D26" r:id="rId35"/>
    <hyperlink xmlns:r="http://schemas.openxmlformats.org/officeDocument/2006/relationships" ref="E26" r:id="rId36"/>
    <hyperlink xmlns:r="http://schemas.openxmlformats.org/officeDocument/2006/relationships" ref="D27" r:id="rId37"/>
    <hyperlink xmlns:r="http://schemas.openxmlformats.org/officeDocument/2006/relationships" ref="E27" r:id="rId38"/>
    <hyperlink xmlns:r="http://schemas.openxmlformats.org/officeDocument/2006/relationships" ref="D28" r:id="rId39"/>
    <hyperlink xmlns:r="http://schemas.openxmlformats.org/officeDocument/2006/relationships" ref="E28" r:id="rId40"/>
    <hyperlink xmlns:r="http://schemas.openxmlformats.org/officeDocument/2006/relationships" ref="D32" r:id="rId41"/>
    <hyperlink xmlns:r="http://schemas.openxmlformats.org/officeDocument/2006/relationships" ref="E32" r:id="rId42"/>
    <hyperlink xmlns:r="http://schemas.openxmlformats.org/officeDocument/2006/relationships" ref="D33" r:id="rId43"/>
    <hyperlink xmlns:r="http://schemas.openxmlformats.org/officeDocument/2006/relationships" ref="E33" r:id="rId44"/>
    <hyperlink xmlns:r="http://schemas.openxmlformats.org/officeDocument/2006/relationships" ref="D34" r:id="rId45"/>
    <hyperlink xmlns:r="http://schemas.openxmlformats.org/officeDocument/2006/relationships" ref="E34" r:id="rId46"/>
    <hyperlink xmlns:r="http://schemas.openxmlformats.org/officeDocument/2006/relationships" ref="D35" r:id="rId47"/>
    <hyperlink xmlns:r="http://schemas.openxmlformats.org/officeDocument/2006/relationships" ref="E35" r:id="rId48"/>
    <hyperlink xmlns:r="http://schemas.openxmlformats.org/officeDocument/2006/relationships" ref="D36" r:id="rId49"/>
    <hyperlink xmlns:r="http://schemas.openxmlformats.org/officeDocument/2006/relationships" ref="E36" r:id="rId50"/>
    <hyperlink xmlns:r="http://schemas.openxmlformats.org/officeDocument/2006/relationships" ref="D37" r:id="rId51"/>
    <hyperlink xmlns:r="http://schemas.openxmlformats.org/officeDocument/2006/relationships" ref="E37" r:id="rId52"/>
    <hyperlink xmlns:r="http://schemas.openxmlformats.org/officeDocument/2006/relationships" ref="D41" r:id="rId53"/>
    <hyperlink xmlns:r="http://schemas.openxmlformats.org/officeDocument/2006/relationships" ref="E41" r:id="rId54"/>
    <hyperlink xmlns:r="http://schemas.openxmlformats.org/officeDocument/2006/relationships" ref="D42" r:id="rId55"/>
    <hyperlink xmlns:r="http://schemas.openxmlformats.org/officeDocument/2006/relationships" ref="E42" r:id="rId56"/>
    <hyperlink xmlns:r="http://schemas.openxmlformats.org/officeDocument/2006/relationships" ref="D43" r:id="rId57"/>
    <hyperlink xmlns:r="http://schemas.openxmlformats.org/officeDocument/2006/relationships" ref="E43" r:id="rId58"/>
    <hyperlink xmlns:r="http://schemas.openxmlformats.org/officeDocument/2006/relationships" ref="D44" r:id="rId59"/>
    <hyperlink xmlns:r="http://schemas.openxmlformats.org/officeDocument/2006/relationships" ref="E44" r:id="rId60"/>
    <hyperlink xmlns:r="http://schemas.openxmlformats.org/officeDocument/2006/relationships" ref="D45" r:id="rId61"/>
    <hyperlink xmlns:r="http://schemas.openxmlformats.org/officeDocument/2006/relationships" ref="E45" r:id="rId62"/>
    <hyperlink xmlns:r="http://schemas.openxmlformats.org/officeDocument/2006/relationships" ref="D46" r:id="rId63"/>
    <hyperlink xmlns:r="http://schemas.openxmlformats.org/officeDocument/2006/relationships" ref="E46" r:id="rId64"/>
    <hyperlink xmlns:r="http://schemas.openxmlformats.org/officeDocument/2006/relationships" ref="D47" r:id="rId65"/>
    <hyperlink xmlns:r="http://schemas.openxmlformats.org/officeDocument/2006/relationships" ref="E47" r:id="rId66"/>
    <hyperlink xmlns:r="http://schemas.openxmlformats.org/officeDocument/2006/relationships" ref="D48" r:id="rId67"/>
    <hyperlink xmlns:r="http://schemas.openxmlformats.org/officeDocument/2006/relationships" ref="E48" r:id="rId68"/>
    <hyperlink xmlns:r="http://schemas.openxmlformats.org/officeDocument/2006/relationships" ref="D52" r:id="rId69"/>
    <hyperlink xmlns:r="http://schemas.openxmlformats.org/officeDocument/2006/relationships" ref="E52" r:id="rId70"/>
    <hyperlink xmlns:r="http://schemas.openxmlformats.org/officeDocument/2006/relationships" ref="D53" r:id="rId71"/>
    <hyperlink xmlns:r="http://schemas.openxmlformats.org/officeDocument/2006/relationships" ref="E53" r:id="rId72"/>
    <hyperlink xmlns:r="http://schemas.openxmlformats.org/officeDocument/2006/relationships" ref="D54" r:id="rId73"/>
    <hyperlink xmlns:r="http://schemas.openxmlformats.org/officeDocument/2006/relationships" ref="E54" r:id="rId74"/>
    <hyperlink xmlns:r="http://schemas.openxmlformats.org/officeDocument/2006/relationships" ref="D55" r:id="rId75"/>
    <hyperlink xmlns:r="http://schemas.openxmlformats.org/officeDocument/2006/relationships" ref="E55" r:id="rId76"/>
    <hyperlink xmlns:r="http://schemas.openxmlformats.org/officeDocument/2006/relationships" ref="D56" r:id="rId77"/>
    <hyperlink xmlns:r="http://schemas.openxmlformats.org/officeDocument/2006/relationships" ref="E56" r:id="rId78"/>
    <hyperlink xmlns:r="http://schemas.openxmlformats.org/officeDocument/2006/relationships" ref="D57" r:id="rId79"/>
    <hyperlink xmlns:r="http://schemas.openxmlformats.org/officeDocument/2006/relationships" ref="E57" r:id="rId80"/>
    <hyperlink xmlns:r="http://schemas.openxmlformats.org/officeDocument/2006/relationships" ref="D58" r:id="rId81"/>
    <hyperlink xmlns:r="http://schemas.openxmlformats.org/officeDocument/2006/relationships" ref="E58" r:id="rId82"/>
    <hyperlink xmlns:r="http://schemas.openxmlformats.org/officeDocument/2006/relationships" ref="D62" r:id="rId83"/>
    <hyperlink xmlns:r="http://schemas.openxmlformats.org/officeDocument/2006/relationships" ref="E62" r:id="rId84"/>
    <hyperlink xmlns:r="http://schemas.openxmlformats.org/officeDocument/2006/relationships" ref="D63" r:id="rId85"/>
    <hyperlink xmlns:r="http://schemas.openxmlformats.org/officeDocument/2006/relationships" ref="E63" r:id="rId86"/>
    <hyperlink xmlns:r="http://schemas.openxmlformats.org/officeDocument/2006/relationships" ref="D64" r:id="rId87"/>
    <hyperlink xmlns:r="http://schemas.openxmlformats.org/officeDocument/2006/relationships" ref="E64" r:id="rId88"/>
    <hyperlink xmlns:r="http://schemas.openxmlformats.org/officeDocument/2006/relationships" ref="D65" r:id="rId89"/>
    <hyperlink xmlns:r="http://schemas.openxmlformats.org/officeDocument/2006/relationships" ref="E65" r:id="rId90"/>
    <hyperlink xmlns:r="http://schemas.openxmlformats.org/officeDocument/2006/relationships" ref="D66" r:id="rId91"/>
    <hyperlink xmlns:r="http://schemas.openxmlformats.org/officeDocument/2006/relationships" ref="E66" r:id="rId92"/>
    <hyperlink xmlns:r="http://schemas.openxmlformats.org/officeDocument/2006/relationships" ref="D67" r:id="rId93"/>
    <hyperlink xmlns:r="http://schemas.openxmlformats.org/officeDocument/2006/relationships" ref="E67" r:id="rId94"/>
    <hyperlink xmlns:r="http://schemas.openxmlformats.org/officeDocument/2006/relationships" ref="D71" r:id="rId95"/>
    <hyperlink xmlns:r="http://schemas.openxmlformats.org/officeDocument/2006/relationships" ref="E71" r:id="rId96"/>
    <hyperlink xmlns:r="http://schemas.openxmlformats.org/officeDocument/2006/relationships" ref="D72" r:id="rId97"/>
    <hyperlink xmlns:r="http://schemas.openxmlformats.org/officeDocument/2006/relationships" ref="E72" r:id="rId98"/>
    <hyperlink xmlns:r="http://schemas.openxmlformats.org/officeDocument/2006/relationships" ref="D73" r:id="rId99"/>
    <hyperlink xmlns:r="http://schemas.openxmlformats.org/officeDocument/2006/relationships" ref="E73" r:id="rId100"/>
    <hyperlink xmlns:r="http://schemas.openxmlformats.org/officeDocument/2006/relationships" ref="D74" r:id="rId101"/>
    <hyperlink xmlns:r="http://schemas.openxmlformats.org/officeDocument/2006/relationships" ref="E74" r:id="rId102"/>
    <hyperlink xmlns:r="http://schemas.openxmlformats.org/officeDocument/2006/relationships" ref="D75" r:id="rId103"/>
    <hyperlink xmlns:r="http://schemas.openxmlformats.org/officeDocument/2006/relationships" ref="E75" r:id="rId104"/>
    <hyperlink xmlns:r="http://schemas.openxmlformats.org/officeDocument/2006/relationships" ref="D76" r:id="rId105"/>
    <hyperlink xmlns:r="http://schemas.openxmlformats.org/officeDocument/2006/relationships" ref="E76" r:id="rId106"/>
    <hyperlink xmlns:r="http://schemas.openxmlformats.org/officeDocument/2006/relationships" ref="D77" r:id="rId107"/>
    <hyperlink xmlns:r="http://schemas.openxmlformats.org/officeDocument/2006/relationships" ref="E77" r:id="rId108"/>
    <hyperlink xmlns:r="http://schemas.openxmlformats.org/officeDocument/2006/relationships" ref="D81" r:id="rId109"/>
    <hyperlink xmlns:r="http://schemas.openxmlformats.org/officeDocument/2006/relationships" ref="E81" r:id="rId110"/>
    <hyperlink xmlns:r="http://schemas.openxmlformats.org/officeDocument/2006/relationships" ref="D82" r:id="rId111"/>
    <hyperlink xmlns:r="http://schemas.openxmlformats.org/officeDocument/2006/relationships" ref="E82" r:id="rId112"/>
    <hyperlink xmlns:r="http://schemas.openxmlformats.org/officeDocument/2006/relationships" ref="D83" r:id="rId113"/>
    <hyperlink xmlns:r="http://schemas.openxmlformats.org/officeDocument/2006/relationships" ref="E83" r:id="rId114"/>
    <hyperlink xmlns:r="http://schemas.openxmlformats.org/officeDocument/2006/relationships" ref="D84" r:id="rId115"/>
    <hyperlink xmlns:r="http://schemas.openxmlformats.org/officeDocument/2006/relationships" ref="E84" r:id="rId116"/>
    <hyperlink xmlns:r="http://schemas.openxmlformats.org/officeDocument/2006/relationships" ref="D85" r:id="rId117"/>
    <hyperlink xmlns:r="http://schemas.openxmlformats.org/officeDocument/2006/relationships" ref="E85" r:id="rId118"/>
    <hyperlink xmlns:r="http://schemas.openxmlformats.org/officeDocument/2006/relationships" ref="D89" r:id="rId119"/>
    <hyperlink xmlns:r="http://schemas.openxmlformats.org/officeDocument/2006/relationships" ref="E89" r:id="rId120"/>
    <hyperlink xmlns:r="http://schemas.openxmlformats.org/officeDocument/2006/relationships" ref="D90" r:id="rId121"/>
    <hyperlink xmlns:r="http://schemas.openxmlformats.org/officeDocument/2006/relationships" ref="E90" r:id="rId122"/>
    <hyperlink xmlns:r="http://schemas.openxmlformats.org/officeDocument/2006/relationships" ref="D91" r:id="rId123"/>
    <hyperlink xmlns:r="http://schemas.openxmlformats.org/officeDocument/2006/relationships" ref="E91" r:id="rId124"/>
    <hyperlink xmlns:r="http://schemas.openxmlformats.org/officeDocument/2006/relationships" ref="D92" r:id="rId125"/>
    <hyperlink xmlns:r="http://schemas.openxmlformats.org/officeDocument/2006/relationships" ref="E92" r:id="rId126"/>
    <hyperlink xmlns:r="http://schemas.openxmlformats.org/officeDocument/2006/relationships" ref="D93" r:id="rId127"/>
    <hyperlink xmlns:r="http://schemas.openxmlformats.org/officeDocument/2006/relationships" ref="E93" r:id="rId128"/>
    <hyperlink xmlns:r="http://schemas.openxmlformats.org/officeDocument/2006/relationships" ref="D94" r:id="rId129"/>
    <hyperlink xmlns:r="http://schemas.openxmlformats.org/officeDocument/2006/relationships" ref="E94" r:id="rId1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2026-08-04T10:31:40Z</dcterms:created>
  <dcterms:modified xmlns:dcterms="http://purl.org/dc/terms/" xmlns:xsi="http://www.w3.org/2001/XMLSchema-instance" xsi:type="dcterms:W3CDTF">2026-08-04T10:31:40Z</dcterms:modified>
</cp:coreProperties>
</file>